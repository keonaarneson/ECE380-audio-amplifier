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nes\Documents\BSU\Spring '26\ECE380+L\Audio Amplifier Project\"/>
    </mc:Choice>
  </mc:AlternateContent>
  <xr:revisionPtr revIDLastSave="0" documentId="13_ncr:1_{4C322F0B-1007-4812-B147-CD67F369498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11" i="1"/>
  <c r="J12" i="1"/>
  <c r="J13" i="1"/>
  <c r="J14" i="1"/>
  <c r="J15" i="1"/>
  <c r="J16" i="1"/>
  <c r="K47" i="1"/>
  <c r="J8" i="1"/>
  <c r="Y37" i="1"/>
  <c r="V27" i="1"/>
  <c r="V28" i="1"/>
  <c r="V35" i="1"/>
  <c r="V37" i="1"/>
  <c r="U25" i="1"/>
  <c r="V25" i="1" s="1"/>
  <c r="U26" i="1"/>
  <c r="V26" i="1" s="1"/>
  <c r="U27" i="1"/>
  <c r="U28" i="1"/>
  <c r="U29" i="1"/>
  <c r="V29" i="1" s="1"/>
  <c r="U30" i="1"/>
  <c r="V30" i="1" s="1"/>
  <c r="U31" i="1"/>
  <c r="V31" i="1" s="1"/>
  <c r="U32" i="1"/>
  <c r="V32" i="1" s="1"/>
  <c r="U33" i="1"/>
  <c r="U34" i="1"/>
  <c r="U35" i="1"/>
  <c r="U36" i="1"/>
  <c r="V36" i="1" s="1"/>
  <c r="U37" i="1"/>
  <c r="U24" i="1"/>
  <c r="V24" i="1" s="1"/>
  <c r="T24" i="1"/>
  <c r="R24" i="1"/>
  <c r="S24" i="1" s="1"/>
  <c r="R25" i="1"/>
  <c r="S25" i="1" s="1"/>
  <c r="X25" i="1"/>
  <c r="Y25" i="1" s="1"/>
  <c r="X26" i="1"/>
  <c r="Y26" i="1" s="1"/>
  <c r="X27" i="1"/>
  <c r="Y27" i="1" s="1"/>
  <c r="X28" i="1"/>
  <c r="Y28" i="1" s="1"/>
  <c r="X29" i="1"/>
  <c r="Y29" i="1" s="1"/>
  <c r="X30" i="1"/>
  <c r="Y30" i="1" s="1"/>
  <c r="X31" i="1"/>
  <c r="Y31" i="1" s="1"/>
  <c r="X32" i="1"/>
  <c r="Y32" i="1" s="1"/>
  <c r="X33" i="1"/>
  <c r="Y33" i="1" s="1"/>
  <c r="X34" i="1"/>
  <c r="Y34" i="1" s="1"/>
  <c r="X35" i="1"/>
  <c r="Y35" i="1" s="1"/>
  <c r="X36" i="1"/>
  <c r="Y36" i="1" s="1"/>
  <c r="X37" i="1"/>
  <c r="X24" i="1"/>
  <c r="Y24" i="1" s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S27" i="1"/>
  <c r="S28" i="1"/>
  <c r="S32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24" i="1"/>
  <c r="R26" i="1"/>
  <c r="S26" i="1" s="1"/>
  <c r="R27" i="1"/>
  <c r="R28" i="1"/>
  <c r="R29" i="1"/>
  <c r="S29" i="1" s="1"/>
  <c r="R30" i="1"/>
  <c r="S30" i="1" s="1"/>
  <c r="R31" i="1"/>
  <c r="S31" i="1" s="1"/>
  <c r="R32" i="1"/>
  <c r="R33" i="1"/>
  <c r="S33" i="1" s="1"/>
  <c r="R34" i="1"/>
  <c r="S34" i="1" s="1"/>
  <c r="R35" i="1"/>
  <c r="S35" i="1" s="1"/>
  <c r="R36" i="1"/>
  <c r="S36" i="1" s="1"/>
  <c r="R37" i="1"/>
  <c r="S37" i="1" s="1"/>
  <c r="P27" i="1"/>
  <c r="P28" i="1"/>
  <c r="P30" i="1"/>
  <c r="P32" i="1"/>
  <c r="O42" i="1"/>
  <c r="O25" i="1"/>
  <c r="P25" i="1" s="1"/>
  <c r="O26" i="1"/>
  <c r="P26" i="1" s="1"/>
  <c r="O27" i="1"/>
  <c r="O28" i="1"/>
  <c r="O29" i="1"/>
  <c r="P29" i="1" s="1"/>
  <c r="O30" i="1"/>
  <c r="O31" i="1"/>
  <c r="P31" i="1" s="1"/>
  <c r="O32" i="1"/>
  <c r="O33" i="1"/>
  <c r="P33" i="1" s="1"/>
  <c r="O34" i="1"/>
  <c r="P34" i="1" s="1"/>
  <c r="O35" i="1"/>
  <c r="P35" i="1" s="1"/>
  <c r="O36" i="1"/>
  <c r="O37" i="1"/>
  <c r="O24" i="1"/>
  <c r="P24" i="1" s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24" i="1"/>
  <c r="M27" i="1"/>
  <c r="M35" i="1"/>
  <c r="M37" i="1"/>
  <c r="L24" i="1"/>
  <c r="M24" i="1" s="1"/>
  <c r="L25" i="1"/>
  <c r="M25" i="1" s="1"/>
  <c r="L26" i="1"/>
  <c r="M26" i="1" s="1"/>
  <c r="L27" i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L36" i="1"/>
  <c r="M36" i="1" s="1"/>
  <c r="L37" i="1"/>
  <c r="N6" i="1"/>
  <c r="V33" i="1" s="1"/>
  <c r="N5" i="1"/>
  <c r="P36" i="1" l="1"/>
  <c r="T38" i="1"/>
  <c r="W38" i="1"/>
  <c r="U38" i="1"/>
  <c r="V38" i="1" s="1"/>
  <c r="V41" i="1" s="1"/>
  <c r="Q38" i="1"/>
  <c r="X38" i="1"/>
  <c r="Y38" i="1" s="1"/>
  <c r="Y41" i="1" s="1"/>
  <c r="P37" i="1"/>
  <c r="V34" i="1"/>
  <c r="R38" i="1"/>
  <c r="S38" i="1" s="1"/>
  <c r="S41" i="1" s="1"/>
  <c r="J17" i="1"/>
  <c r="O38" i="1" a="1"/>
  <c r="O38" i="1" s="1"/>
  <c r="P38" i="1" s="1"/>
  <c r="L38" i="1"/>
  <c r="M38" i="1"/>
  <c r="K45" i="1" s="1"/>
  <c r="N38" i="1"/>
  <c r="K46" i="1" s="1"/>
  <c r="O43" i="1" l="1"/>
  <c r="L47" i="1" s="1"/>
  <c r="K43" i="1"/>
  <c r="K44" i="1"/>
  <c r="L45" i="1" l="1"/>
  <c r="L44" i="1"/>
  <c r="L43" i="1"/>
  <c r="L46" i="1"/>
  <c r="K48" i="1"/>
  <c r="L4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<sst xmlns="http://schemas.openxmlformats.org/spreadsheetml/2006/main" count="88" uniqueCount="78">
  <si>
    <t>Equipment</t>
  </si>
  <si>
    <t>Pick and Place</t>
  </si>
  <si>
    <t>Test</t>
  </si>
  <si>
    <t>Components</t>
  </si>
  <si>
    <t>Board Router</t>
  </si>
  <si>
    <t>Amplifier</t>
  </si>
  <si>
    <t>Jacks</t>
  </si>
  <si>
    <t>Quantity</t>
  </si>
  <si>
    <t>years</t>
  </si>
  <si>
    <t>Ult Board Router</t>
  </si>
  <si>
    <t>Cost</t>
  </si>
  <si>
    <t>Tech Support</t>
  </si>
  <si>
    <t>Throughput  (parts/hr)</t>
  </si>
  <si>
    <t>Engineering Support</t>
  </si>
  <si>
    <t>Yield</t>
  </si>
  <si>
    <t>BH Board Router</t>
  </si>
  <si>
    <t>Sl Board Router</t>
  </si>
  <si>
    <t>Ult Pick and Place</t>
  </si>
  <si>
    <t>FR4 Board</t>
  </si>
  <si>
    <t>look up costs in units of thousands</t>
  </si>
  <si>
    <t>per year</t>
  </si>
  <si>
    <t>BH Pick and Place</t>
  </si>
  <si>
    <t xml:space="preserve">SI Test </t>
  </si>
  <si>
    <t xml:space="preserve">SI Pick and Place </t>
  </si>
  <si>
    <t>Ult Test</t>
  </si>
  <si>
    <t>BH Test</t>
  </si>
  <si>
    <t>Space req (sq ft)</t>
  </si>
  <si>
    <t>Factory Overhead Base Cost</t>
  </si>
  <si>
    <t>Factory Cost Base</t>
  </si>
  <si>
    <t>per hr</t>
  </si>
  <si>
    <t>Technician Labor Costs</t>
  </si>
  <si>
    <t>Operator Support</t>
  </si>
  <si>
    <t>Operator Costs</t>
  </si>
  <si>
    <t>Fringe on Labor</t>
  </si>
  <si>
    <t>Cost Model Specifications</t>
  </si>
  <si>
    <t>plus</t>
  </si>
  <si>
    <t>Factory Cost per sq ft for equipment placement</t>
  </si>
  <si>
    <t>Facility Depreciation (straight line)</t>
  </si>
  <si>
    <t>Equipment Depreciation (straight line)</t>
  </si>
  <si>
    <t>Total</t>
  </si>
  <si>
    <t>Total Cost</t>
  </si>
  <si>
    <t>Blocking Capacitor (Cb)</t>
  </si>
  <si>
    <t>Shunt Capacitor (Csh)</t>
  </si>
  <si>
    <t>Bypass Capacitor (Cbyp)</t>
  </si>
  <si>
    <t>Decoupling Capacitor (Cd)</t>
  </si>
  <si>
    <t>Variable Resistor (POT)</t>
  </si>
  <si>
    <t>Shunt Resistor (Rsh)</t>
  </si>
  <si>
    <t>Audio Connector</t>
  </si>
  <si>
    <t>Cost Per Part</t>
  </si>
  <si>
    <t>N/A</t>
  </si>
  <si>
    <t>Total Production Hours</t>
  </si>
  <si>
    <t>Labor Hours</t>
  </si>
  <si>
    <t>Total # of tools</t>
  </si>
  <si>
    <t>Tool Depreciation</t>
  </si>
  <si>
    <t>Parts Per Hour</t>
  </si>
  <si>
    <t>Total Yield</t>
  </si>
  <si>
    <t>Engineering Intern Cost</t>
  </si>
  <si>
    <t>Yielded Parts Per Year</t>
  </si>
  <si>
    <t>Parts Per Year</t>
  </si>
  <si>
    <t>Technicians</t>
  </si>
  <si>
    <t>Technicians (Whole Number)</t>
  </si>
  <si>
    <t>Technician Cost</t>
  </si>
  <si>
    <t>Labor + Fringe</t>
  </si>
  <si>
    <t>Operators</t>
  </si>
  <si>
    <t>Operators (Whole Number)</t>
  </si>
  <si>
    <t>Operator Cost</t>
  </si>
  <si>
    <t>Engineers</t>
  </si>
  <si>
    <t>Engineers (Whole Numbers)</t>
  </si>
  <si>
    <t>Engineer Cost</t>
  </si>
  <si>
    <t>Category</t>
  </si>
  <si>
    <t>Cost/Part</t>
  </si>
  <si>
    <t>Materials</t>
  </si>
  <si>
    <t>Labor</t>
  </si>
  <si>
    <t>Facilities</t>
  </si>
  <si>
    <t>Overhead</t>
  </si>
  <si>
    <t>TOTAL</t>
  </si>
  <si>
    <t>Tool Space Cost</t>
  </si>
  <si>
    <t>Bulk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</si>
</sst>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6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6" fontId="0" fillId="0" borderId="0" xfId="0" applyNumberFormat="1"/>
    <xf numFmtId="8" fontId="0" fillId="0" borderId="0" xfId="0" applyNumberFormat="1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6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9" fontId="0" fillId="2" borderId="0" xfId="0" applyNumberFormat="1" applyFill="1"/>
    <xf numFmtId="0" fontId="1" fillId="0" borderId="0" xfId="0" applyFont="1" applyAlignment="1">
      <alignment wrapText="1"/>
    </xf>
    <xf numFmtId="8" fontId="0" fillId="2" borderId="0" xfId="0" applyNumberFormat="1" applyFill="1"/>
    <xf numFmtId="166" fontId="0" fillId="2" borderId="0" xfId="0" applyNumberFormat="1" applyFill="1"/>
    <xf numFmtId="0" fontId="3" fillId="2" borderId="0" xfId="0" applyFont="1" applyFill="1"/>
    <xf numFmtId="0" fontId="4" fillId="2" borderId="0" xfId="0" applyFont="1" applyFill="1"/>
    <xf numFmtId="0" fontId="1" fillId="0" borderId="1" xfId="0" applyFont="1" applyFill="1" applyBorder="1" applyAlignment="1">
      <alignment wrapText="1"/>
    </xf>
    <xf numFmtId="0" fontId="0" fillId="0" borderId="0" xfId="0" applyNumberFormat="1"/>
    <xf numFmtId="10" fontId="0" fillId="0" borderId="0" xfId="0" applyNumberFormat="1"/>
    <xf numFmtId="1" fontId="0" fillId="0" borderId="0" xfId="0" applyNumberFormat="1"/>
    <xf numFmtId="0" fontId="0" fillId="0" borderId="0" xfId="0" applyFill="1" applyBorder="1"/>
    <xf numFmtId="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D48"/>
  <sheetViews>
    <sheetView tabSelected="1" topLeftCell="A26" zoomScaleNormal="100" workbookViewId="0">
      <selection activeCell="H7" sqref="H7"/>
    </sheetView>
  </sheetViews>
  <sheetFormatPr defaultRowHeight="14.25" x14ac:dyDescent="0.45"/>
  <cols>
    <col min="3" max="3" width="26.265625" customWidth="1"/>
    <col min="4" max="4" width="13" customWidth="1"/>
    <col min="5" max="5" width="11.3984375" customWidth="1"/>
    <col min="6" max="6" width="21.86328125" customWidth="1"/>
    <col min="7" max="9" width="12.86328125" customWidth="1"/>
    <col min="10" max="10" width="11.46484375" customWidth="1"/>
    <col min="11" max="11" width="15.796875" bestFit="1" customWidth="1"/>
    <col min="12" max="12" width="13.19921875" customWidth="1"/>
    <col min="13" max="13" width="14.73046875" customWidth="1"/>
    <col min="14" max="14" width="15.9296875" customWidth="1"/>
    <col min="15" max="15" width="18.3984375" customWidth="1"/>
    <col min="16" max="16" width="17" customWidth="1"/>
    <col min="17" max="17" width="16.1328125" customWidth="1"/>
    <col min="18" max="18" width="16.73046875" customWidth="1"/>
    <col min="19" max="19" width="13.3984375" customWidth="1"/>
    <col min="22" max="22" width="14.86328125" customWidth="1"/>
    <col min="23" max="23" width="15.86328125" customWidth="1"/>
    <col min="24" max="24" width="14" customWidth="1"/>
    <col min="25" max="25" width="15.59765625" customWidth="1"/>
    <col min="26" max="26" width="15.86328125" customWidth="1"/>
    <col min="27" max="27" width="12.3984375" customWidth="1"/>
    <col min="28" max="28" width="10.86328125" customWidth="1"/>
    <col min="29" max="29" width="11.59765625" customWidth="1"/>
    <col min="30" max="30" width="10.59765625" customWidth="1"/>
  </cols>
  <sheetData>
    <row r="2" spans="3:14" ht="21" x14ac:dyDescent="0.65">
      <c r="F2" s="4" t="s">
        <v>34</v>
      </c>
    </row>
    <row r="3" spans="3:14" x14ac:dyDescent="0.45">
      <c r="D3" s="9"/>
    </row>
    <row r="5" spans="3:14" x14ac:dyDescent="0.45">
      <c r="C5" s="1" t="s">
        <v>0</v>
      </c>
      <c r="F5" s="1" t="s">
        <v>3</v>
      </c>
      <c r="G5" t="s">
        <v>19</v>
      </c>
      <c r="L5" t="s">
        <v>50</v>
      </c>
      <c r="N5">
        <f>52*7*24*0.9</f>
        <v>7862.4000000000005</v>
      </c>
    </row>
    <row r="6" spans="3:14" x14ac:dyDescent="0.45">
      <c r="F6" s="5"/>
      <c r="G6" s="5" t="s">
        <v>7</v>
      </c>
      <c r="H6" s="5" t="s">
        <v>77</v>
      </c>
      <c r="I6" s="5" t="s">
        <v>48</v>
      </c>
      <c r="J6" s="5" t="s">
        <v>40</v>
      </c>
      <c r="L6" t="s">
        <v>51</v>
      </c>
      <c r="N6">
        <f>52*7*24</f>
        <v>8736</v>
      </c>
    </row>
    <row r="7" spans="3:14" x14ac:dyDescent="0.45">
      <c r="C7" t="s">
        <v>4</v>
      </c>
      <c r="F7" t="s">
        <v>18</v>
      </c>
      <c r="G7" s="11">
        <v>1</v>
      </c>
      <c r="H7" s="11" t="s">
        <v>49</v>
      </c>
      <c r="I7" s="16">
        <v>0.25</v>
      </c>
      <c r="J7" s="15">
        <v>0.25</v>
      </c>
    </row>
    <row r="8" spans="3:14" x14ac:dyDescent="0.45">
      <c r="C8" t="s">
        <v>1</v>
      </c>
      <c r="F8" t="s">
        <v>5</v>
      </c>
      <c r="G8" s="11">
        <v>1</v>
      </c>
      <c r="H8" s="11">
        <v>1000</v>
      </c>
      <c r="I8" s="16">
        <v>0.44800000000000001</v>
      </c>
      <c r="J8" s="15">
        <f>G8*I8</f>
        <v>0.44800000000000001</v>
      </c>
    </row>
    <row r="9" spans="3:14" x14ac:dyDescent="0.45">
      <c r="C9" t="s">
        <v>2</v>
      </c>
      <c r="F9" t="s">
        <v>6</v>
      </c>
      <c r="G9" s="11">
        <v>2</v>
      </c>
      <c r="H9" s="11">
        <v>10000</v>
      </c>
      <c r="I9" s="16">
        <v>0.73614000000000002</v>
      </c>
      <c r="J9" s="15">
        <f t="shared" ref="J9:J16" si="0">G9*I9</f>
        <v>1.47228</v>
      </c>
    </row>
    <row r="10" spans="3:14" x14ac:dyDescent="0.45">
      <c r="F10" t="s">
        <v>47</v>
      </c>
      <c r="G10" s="11">
        <v>1</v>
      </c>
      <c r="H10" s="11">
        <v>6000</v>
      </c>
      <c r="I10" s="16">
        <v>0.84184999999999999</v>
      </c>
      <c r="J10" s="15">
        <f t="shared" si="0"/>
        <v>0.84184999999999999</v>
      </c>
    </row>
    <row r="11" spans="3:14" x14ac:dyDescent="0.45">
      <c r="F11" t="s">
        <v>41</v>
      </c>
      <c r="G11" s="11">
        <v>1</v>
      </c>
      <c r="H11" s="11">
        <v>25000</v>
      </c>
      <c r="I11" s="16">
        <v>0.31</v>
      </c>
      <c r="J11" s="15">
        <f t="shared" si="0"/>
        <v>0.31</v>
      </c>
    </row>
    <row r="12" spans="3:14" x14ac:dyDescent="0.45">
      <c r="F12" t="s">
        <v>42</v>
      </c>
      <c r="G12" s="11">
        <v>1</v>
      </c>
      <c r="H12" s="11">
        <v>4000</v>
      </c>
      <c r="I12" s="16">
        <v>6.0600000000000003E-3</v>
      </c>
      <c r="J12" s="15">
        <f t="shared" si="0"/>
        <v>6.0600000000000003E-3</v>
      </c>
    </row>
    <row r="13" spans="3:14" x14ac:dyDescent="0.45">
      <c r="F13" t="s">
        <v>43</v>
      </c>
      <c r="G13" s="11">
        <v>1</v>
      </c>
      <c r="H13" s="11">
        <v>20000</v>
      </c>
      <c r="I13" s="16">
        <v>2.3E-2</v>
      </c>
      <c r="J13" s="15">
        <f t="shared" si="0"/>
        <v>2.3E-2</v>
      </c>
    </row>
    <row r="14" spans="3:14" x14ac:dyDescent="0.45">
      <c r="F14" t="s">
        <v>44</v>
      </c>
      <c r="G14" s="11">
        <v>1</v>
      </c>
      <c r="H14" s="11">
        <v>6000</v>
      </c>
      <c r="I14" s="16">
        <v>6.0900000000000003E-2</v>
      </c>
      <c r="J14" s="15">
        <f t="shared" si="0"/>
        <v>6.0900000000000003E-2</v>
      </c>
    </row>
    <row r="15" spans="3:14" x14ac:dyDescent="0.45">
      <c r="F15" t="s">
        <v>45</v>
      </c>
      <c r="G15" s="11">
        <v>1</v>
      </c>
      <c r="H15" s="11">
        <v>5000</v>
      </c>
      <c r="I15" s="16">
        <v>1.62785</v>
      </c>
      <c r="J15" s="15">
        <f t="shared" si="0"/>
        <v>1.62785</v>
      </c>
    </row>
    <row r="16" spans="3:14" x14ac:dyDescent="0.45">
      <c r="F16" t="s">
        <v>46</v>
      </c>
      <c r="G16" s="11">
        <v>1</v>
      </c>
      <c r="H16" s="11">
        <v>5000</v>
      </c>
      <c r="I16" s="16">
        <v>1.1900000000000001E-3</v>
      </c>
      <c r="J16" s="15">
        <f t="shared" si="0"/>
        <v>1.1900000000000001E-3</v>
      </c>
    </row>
    <row r="17" spans="3:30" x14ac:dyDescent="0.45">
      <c r="G17" t="s">
        <v>39</v>
      </c>
      <c r="J17" s="3">
        <f>SUM(J7:J16)</f>
        <v>5.0411300000000008</v>
      </c>
    </row>
    <row r="19" spans="3:30" ht="28.5" x14ac:dyDescent="0.45">
      <c r="C19" s="8" t="s">
        <v>37</v>
      </c>
      <c r="D19" s="11">
        <v>20</v>
      </c>
      <c r="E19" t="s">
        <v>8</v>
      </c>
    </row>
    <row r="20" spans="3:30" ht="28.5" x14ac:dyDescent="0.45">
      <c r="C20" s="8" t="s">
        <v>38</v>
      </c>
      <c r="D20" s="11">
        <v>5</v>
      </c>
      <c r="E20" t="s">
        <v>8</v>
      </c>
    </row>
    <row r="21" spans="3:30" ht="28.5" x14ac:dyDescent="0.45">
      <c r="C21" t="s">
        <v>28</v>
      </c>
      <c r="D21" s="10">
        <v>2700000</v>
      </c>
      <c r="E21" t="s">
        <v>35</v>
      </c>
      <c r="F21" s="8" t="s">
        <v>36</v>
      </c>
      <c r="G21" s="10">
        <v>3000</v>
      </c>
    </row>
    <row r="22" spans="3:30" x14ac:dyDescent="0.45">
      <c r="D22" s="2"/>
      <c r="G22" s="2"/>
      <c r="H22" s="2"/>
      <c r="I22" s="2"/>
    </row>
    <row r="23" spans="3:30" ht="42.75" x14ac:dyDescent="0.45">
      <c r="C23" s="6" t="s">
        <v>0</v>
      </c>
      <c r="D23" s="6" t="s">
        <v>10</v>
      </c>
      <c r="E23" s="7" t="s">
        <v>12</v>
      </c>
      <c r="F23" s="7" t="s">
        <v>11</v>
      </c>
      <c r="G23" s="7" t="s">
        <v>13</v>
      </c>
      <c r="H23" s="7" t="s">
        <v>31</v>
      </c>
      <c r="I23" s="7" t="s">
        <v>14</v>
      </c>
      <c r="J23" s="7" t="s">
        <v>26</v>
      </c>
      <c r="K23" s="19" t="s">
        <v>52</v>
      </c>
      <c r="L23" s="19" t="s">
        <v>40</v>
      </c>
      <c r="M23" s="19" t="s">
        <v>53</v>
      </c>
      <c r="N23" s="7" t="s">
        <v>76</v>
      </c>
      <c r="O23" s="14" t="s">
        <v>54</v>
      </c>
      <c r="P23" s="14" t="s">
        <v>58</v>
      </c>
      <c r="Q23" s="14" t="s">
        <v>59</v>
      </c>
      <c r="R23" s="14" t="s">
        <v>60</v>
      </c>
      <c r="S23" s="14" t="s">
        <v>61</v>
      </c>
      <c r="T23" s="14" t="s">
        <v>63</v>
      </c>
      <c r="U23" s="14" t="s">
        <v>64</v>
      </c>
      <c r="V23" s="14" t="s">
        <v>65</v>
      </c>
      <c r="W23" s="14" t="s">
        <v>66</v>
      </c>
      <c r="X23" s="14" t="s">
        <v>67</v>
      </c>
      <c r="Y23" s="14" t="s">
        <v>68</v>
      </c>
      <c r="Z23" s="14"/>
      <c r="AA23" s="14"/>
      <c r="AB23" s="14"/>
      <c r="AC23" s="14"/>
      <c r="AD23" s="14"/>
    </row>
    <row r="24" spans="3:30" x14ac:dyDescent="0.45">
      <c r="C24" t="s">
        <v>9</v>
      </c>
      <c r="D24" s="10">
        <v>220000</v>
      </c>
      <c r="E24" s="11">
        <v>66</v>
      </c>
      <c r="F24" s="12">
        <v>0.2</v>
      </c>
      <c r="G24" s="12">
        <v>0.1</v>
      </c>
      <c r="H24" s="12">
        <v>0.2</v>
      </c>
      <c r="I24" s="13">
        <v>0.89</v>
      </c>
      <c r="J24" s="11">
        <v>90</v>
      </c>
      <c r="K24" s="17">
        <v>50</v>
      </c>
      <c r="L24" s="2">
        <f>D24*K24</f>
        <v>11000000</v>
      </c>
      <c r="M24" s="2">
        <f>L24/$D$20</f>
        <v>2200000</v>
      </c>
      <c r="N24" s="2">
        <f>K24*J24*$G$21</f>
        <v>13500000</v>
      </c>
      <c r="O24" s="20">
        <f>K24*E24</f>
        <v>3300</v>
      </c>
      <c r="P24" s="22">
        <f>FLOOR(O24*$N$5,1)</f>
        <v>25945920</v>
      </c>
      <c r="Q24">
        <f>F24*K24</f>
        <v>10</v>
      </c>
      <c r="R24">
        <f>CEILING(F24*K24,1)</f>
        <v>10</v>
      </c>
      <c r="S24" s="2">
        <f>R24*$D$40*$N$6</f>
        <v>3494400</v>
      </c>
      <c r="T24">
        <f>H24*K24</f>
        <v>10</v>
      </c>
      <c r="U24">
        <f>CEILING(H24*K24,1)</f>
        <v>10</v>
      </c>
      <c r="V24" s="2">
        <f>U24*$D$39*$N$6</f>
        <v>2184000</v>
      </c>
      <c r="W24" s="20">
        <f>G24*K24</f>
        <v>5</v>
      </c>
      <c r="X24">
        <f>CEILING(G24*K24,1)</f>
        <v>5</v>
      </c>
      <c r="Y24" s="2">
        <f>$D$41*X24*4</f>
        <v>2500000</v>
      </c>
      <c r="Z24" s="2"/>
      <c r="AA24" s="2"/>
      <c r="AB24" s="2"/>
      <c r="AD24" s="2"/>
    </row>
    <row r="25" spans="3:30" x14ac:dyDescent="0.45">
      <c r="C25" t="s">
        <v>15</v>
      </c>
      <c r="D25" s="10">
        <v>205000</v>
      </c>
      <c r="E25" s="11">
        <v>71</v>
      </c>
      <c r="F25" s="12">
        <v>0.1</v>
      </c>
      <c r="G25" s="12">
        <v>0.15</v>
      </c>
      <c r="H25" s="12">
        <v>0.2</v>
      </c>
      <c r="I25" s="13">
        <v>0.91</v>
      </c>
      <c r="J25" s="11">
        <v>85</v>
      </c>
      <c r="K25" s="18">
        <v>0</v>
      </c>
      <c r="L25" s="2">
        <f>D25*K25</f>
        <v>0</v>
      </c>
      <c r="M25" s="2">
        <f>L25/$D$20</f>
        <v>0</v>
      </c>
      <c r="N25" s="2">
        <f t="shared" ref="N25:N37" si="1">K25*J25*$G$21</f>
        <v>0</v>
      </c>
      <c r="O25" s="20">
        <f t="shared" ref="O25:O37" si="2">K25*E25</f>
        <v>0</v>
      </c>
      <c r="P25" s="22">
        <f t="shared" ref="P25:P38" si="3">FLOOR(O25*$N$5,1)</f>
        <v>0</v>
      </c>
      <c r="Q25">
        <f t="shared" ref="Q25:Q37" si="4">F25*K25</f>
        <v>0</v>
      </c>
      <c r="R25">
        <f>CEILING(F25*K25,1)</f>
        <v>0</v>
      </c>
      <c r="S25" s="2">
        <f t="shared" ref="S25:S37" si="5">R25*$D$40*$N$6</f>
        <v>0</v>
      </c>
      <c r="T25">
        <f t="shared" ref="T25:T37" si="6">H25*K25</f>
        <v>0</v>
      </c>
      <c r="U25">
        <f t="shared" ref="U25:U37" si="7">CEILING(H25*K25,1)</f>
        <v>0</v>
      </c>
      <c r="V25" s="2">
        <f t="shared" ref="V25:V38" si="8">U25*$D$39*$N$6</f>
        <v>0</v>
      </c>
      <c r="W25" s="20">
        <f t="shared" ref="W25:W37" si="9">G25*K25</f>
        <v>0</v>
      </c>
      <c r="X25">
        <f t="shared" ref="X25:X37" si="10">CEILING(G25*K25,1)</f>
        <v>0</v>
      </c>
      <c r="Y25" s="2">
        <f t="shared" ref="Y25:Y38" si="11">$D$41*X25*4</f>
        <v>0</v>
      </c>
      <c r="Z25" s="2"/>
      <c r="AA25" s="2"/>
      <c r="AB25" s="2"/>
      <c r="AD25" s="2"/>
    </row>
    <row r="26" spans="3:30" x14ac:dyDescent="0.45">
      <c r="C26" t="s">
        <v>16</v>
      </c>
      <c r="D26" s="10">
        <v>290000</v>
      </c>
      <c r="E26" s="11">
        <v>83</v>
      </c>
      <c r="F26" s="12">
        <v>0.15</v>
      </c>
      <c r="G26" s="12">
        <v>0.1</v>
      </c>
      <c r="H26" s="12">
        <v>0.15</v>
      </c>
      <c r="I26" s="13">
        <v>0.9</v>
      </c>
      <c r="J26" s="11">
        <v>95</v>
      </c>
      <c r="K26" s="17">
        <v>0</v>
      </c>
      <c r="L26" s="2">
        <f t="shared" ref="L26:L37" si="12">D26*K26</f>
        <v>0</v>
      </c>
      <c r="M26" s="2">
        <f t="shared" ref="M26:M37" si="13">L26/$D$20</f>
        <v>0</v>
      </c>
      <c r="N26" s="2">
        <f t="shared" si="1"/>
        <v>0</v>
      </c>
      <c r="O26" s="20">
        <f t="shared" si="2"/>
        <v>0</v>
      </c>
      <c r="P26" s="22">
        <f t="shared" si="3"/>
        <v>0</v>
      </c>
      <c r="Q26">
        <f t="shared" si="4"/>
        <v>0</v>
      </c>
      <c r="R26">
        <f>CEILING(F26*K26,1)</f>
        <v>0</v>
      </c>
      <c r="S26" s="2">
        <f t="shared" si="5"/>
        <v>0</v>
      </c>
      <c r="T26">
        <f t="shared" si="6"/>
        <v>0</v>
      </c>
      <c r="U26">
        <f t="shared" si="7"/>
        <v>0</v>
      </c>
      <c r="V26" s="2">
        <f t="shared" si="8"/>
        <v>0</v>
      </c>
      <c r="W26" s="20">
        <f t="shared" si="9"/>
        <v>0</v>
      </c>
      <c r="X26">
        <f t="shared" si="10"/>
        <v>0</v>
      </c>
      <c r="Y26" s="2">
        <f t="shared" si="11"/>
        <v>0</v>
      </c>
      <c r="Z26" s="2"/>
      <c r="AA26" s="2"/>
      <c r="AB26" s="2"/>
      <c r="AD26" s="2"/>
    </row>
    <row r="27" spans="3:30" x14ac:dyDescent="0.45">
      <c r="D27" s="11"/>
      <c r="E27" s="11"/>
      <c r="F27" s="12"/>
      <c r="G27" s="12"/>
      <c r="H27" s="12"/>
      <c r="I27" s="11"/>
      <c r="J27" s="11"/>
      <c r="K27" s="17"/>
      <c r="L27" s="2">
        <f t="shared" si="12"/>
        <v>0</v>
      </c>
      <c r="M27" s="2">
        <f t="shared" si="13"/>
        <v>0</v>
      </c>
      <c r="N27" s="2">
        <f t="shared" si="1"/>
        <v>0</v>
      </c>
      <c r="O27" s="20">
        <f t="shared" si="2"/>
        <v>0</v>
      </c>
      <c r="P27" s="22">
        <f t="shared" si="3"/>
        <v>0</v>
      </c>
      <c r="Q27">
        <f t="shared" si="4"/>
        <v>0</v>
      </c>
      <c r="R27">
        <f>CEILING(F27*K27,1)</f>
        <v>0</v>
      </c>
      <c r="S27" s="2">
        <f t="shared" si="5"/>
        <v>0</v>
      </c>
      <c r="T27">
        <f t="shared" si="6"/>
        <v>0</v>
      </c>
      <c r="U27">
        <f t="shared" si="7"/>
        <v>0</v>
      </c>
      <c r="V27" s="2">
        <f t="shared" si="8"/>
        <v>0</v>
      </c>
      <c r="W27" s="20">
        <f t="shared" si="9"/>
        <v>0</v>
      </c>
      <c r="X27">
        <f t="shared" si="10"/>
        <v>0</v>
      </c>
      <c r="Y27" s="2">
        <f t="shared" si="11"/>
        <v>0</v>
      </c>
      <c r="Z27" s="2"/>
      <c r="AA27" s="2"/>
      <c r="AB27" s="2"/>
      <c r="AD27" s="2"/>
    </row>
    <row r="28" spans="3:30" x14ac:dyDescent="0.45">
      <c r="D28" s="11"/>
      <c r="E28" s="11"/>
      <c r="F28" s="12"/>
      <c r="G28" s="12"/>
      <c r="H28" s="12"/>
      <c r="I28" s="11"/>
      <c r="J28" s="11"/>
      <c r="K28" s="17"/>
      <c r="L28" s="2">
        <f t="shared" si="12"/>
        <v>0</v>
      </c>
      <c r="M28" s="2">
        <f t="shared" si="13"/>
        <v>0</v>
      </c>
      <c r="N28" s="2">
        <f t="shared" si="1"/>
        <v>0</v>
      </c>
      <c r="O28" s="20">
        <f t="shared" si="2"/>
        <v>0</v>
      </c>
      <c r="P28" s="22">
        <f t="shared" si="3"/>
        <v>0</v>
      </c>
      <c r="Q28">
        <f t="shared" si="4"/>
        <v>0</v>
      </c>
      <c r="R28">
        <f>CEILING(F28*K28,1)</f>
        <v>0</v>
      </c>
      <c r="S28" s="2">
        <f t="shared" si="5"/>
        <v>0</v>
      </c>
      <c r="T28">
        <f t="shared" si="6"/>
        <v>0</v>
      </c>
      <c r="U28">
        <f t="shared" si="7"/>
        <v>0</v>
      </c>
      <c r="V28" s="2">
        <f t="shared" si="8"/>
        <v>0</v>
      </c>
      <c r="W28" s="20">
        <f t="shared" si="9"/>
        <v>0</v>
      </c>
      <c r="X28">
        <f t="shared" si="10"/>
        <v>0</v>
      </c>
      <c r="Y28" s="2">
        <f t="shared" si="11"/>
        <v>0</v>
      </c>
      <c r="Z28" s="2"/>
      <c r="AA28" s="2"/>
      <c r="AB28" s="2"/>
      <c r="AD28" s="2"/>
    </row>
    <row r="29" spans="3:30" x14ac:dyDescent="0.45">
      <c r="C29" t="s">
        <v>17</v>
      </c>
      <c r="D29" s="10">
        <v>400000</v>
      </c>
      <c r="E29" s="11">
        <v>33</v>
      </c>
      <c r="F29" s="12">
        <v>0.2</v>
      </c>
      <c r="G29" s="12">
        <v>0.15</v>
      </c>
      <c r="H29" s="12">
        <v>0.2</v>
      </c>
      <c r="I29" s="13">
        <v>0.96</v>
      </c>
      <c r="J29" s="11">
        <v>100</v>
      </c>
      <c r="K29" s="17">
        <v>100</v>
      </c>
      <c r="L29" s="2">
        <f t="shared" si="12"/>
        <v>40000000</v>
      </c>
      <c r="M29" s="2">
        <f t="shared" si="13"/>
        <v>8000000</v>
      </c>
      <c r="N29" s="2">
        <f t="shared" si="1"/>
        <v>30000000</v>
      </c>
      <c r="O29" s="20">
        <f t="shared" si="2"/>
        <v>3300</v>
      </c>
      <c r="P29" s="22">
        <f t="shared" si="3"/>
        <v>25945920</v>
      </c>
      <c r="Q29">
        <f t="shared" si="4"/>
        <v>20</v>
      </c>
      <c r="R29">
        <f>CEILING(F29*K29,1)</f>
        <v>20</v>
      </c>
      <c r="S29" s="2">
        <f t="shared" si="5"/>
        <v>6988800</v>
      </c>
      <c r="T29">
        <f t="shared" si="6"/>
        <v>20</v>
      </c>
      <c r="U29">
        <f t="shared" si="7"/>
        <v>20</v>
      </c>
      <c r="V29" s="2">
        <f t="shared" si="8"/>
        <v>4368000</v>
      </c>
      <c r="W29" s="20">
        <f t="shared" si="9"/>
        <v>15</v>
      </c>
      <c r="X29">
        <f t="shared" si="10"/>
        <v>15</v>
      </c>
      <c r="Y29" s="2">
        <f t="shared" si="11"/>
        <v>7500000</v>
      </c>
      <c r="Z29" s="2"/>
      <c r="AA29" s="2"/>
      <c r="AB29" s="2"/>
      <c r="AD29" s="2"/>
    </row>
    <row r="30" spans="3:30" x14ac:dyDescent="0.45">
      <c r="C30" t="s">
        <v>21</v>
      </c>
      <c r="D30" s="10">
        <v>390000</v>
      </c>
      <c r="E30" s="11">
        <v>37</v>
      </c>
      <c r="F30" s="12">
        <v>0.25</v>
      </c>
      <c r="G30" s="12">
        <v>0.1</v>
      </c>
      <c r="H30" s="12">
        <v>0.25</v>
      </c>
      <c r="I30" s="13">
        <v>0.94</v>
      </c>
      <c r="J30" s="11">
        <v>120</v>
      </c>
      <c r="K30" s="18">
        <v>0</v>
      </c>
      <c r="L30" s="2">
        <f t="shared" si="12"/>
        <v>0</v>
      </c>
      <c r="M30" s="2">
        <f t="shared" si="13"/>
        <v>0</v>
      </c>
      <c r="N30" s="2">
        <f t="shared" si="1"/>
        <v>0</v>
      </c>
      <c r="O30" s="20">
        <f t="shared" si="2"/>
        <v>0</v>
      </c>
      <c r="P30" s="22">
        <f t="shared" si="3"/>
        <v>0</v>
      </c>
      <c r="Q30">
        <f t="shared" si="4"/>
        <v>0</v>
      </c>
      <c r="R30">
        <f>CEILING(F30*K30,1)</f>
        <v>0</v>
      </c>
      <c r="S30" s="2">
        <f t="shared" si="5"/>
        <v>0</v>
      </c>
      <c r="T30">
        <f t="shared" si="6"/>
        <v>0</v>
      </c>
      <c r="U30">
        <f t="shared" si="7"/>
        <v>0</v>
      </c>
      <c r="V30" s="2">
        <f t="shared" si="8"/>
        <v>0</v>
      </c>
      <c r="W30" s="20">
        <f t="shared" si="9"/>
        <v>0</v>
      </c>
      <c r="X30">
        <f t="shared" si="10"/>
        <v>0</v>
      </c>
      <c r="Y30" s="2">
        <f t="shared" si="11"/>
        <v>0</v>
      </c>
      <c r="Z30" s="2"/>
      <c r="AA30" s="2"/>
      <c r="AB30" s="2"/>
      <c r="AD30" s="2"/>
    </row>
    <row r="31" spans="3:30" x14ac:dyDescent="0.45">
      <c r="C31" t="s">
        <v>23</v>
      </c>
      <c r="D31" s="10">
        <v>460000</v>
      </c>
      <c r="E31" s="11">
        <v>40</v>
      </c>
      <c r="F31" s="12">
        <v>0.15</v>
      </c>
      <c r="G31" s="12">
        <v>0.2</v>
      </c>
      <c r="H31" s="12">
        <v>0.2</v>
      </c>
      <c r="I31" s="13">
        <v>0.93</v>
      </c>
      <c r="J31" s="11">
        <v>130</v>
      </c>
      <c r="K31" s="17">
        <v>0</v>
      </c>
      <c r="L31" s="2">
        <f t="shared" si="12"/>
        <v>0</v>
      </c>
      <c r="M31" s="2">
        <f t="shared" si="13"/>
        <v>0</v>
      </c>
      <c r="N31" s="2">
        <f t="shared" si="1"/>
        <v>0</v>
      </c>
      <c r="O31" s="20">
        <f t="shared" si="2"/>
        <v>0</v>
      </c>
      <c r="P31" s="22">
        <f t="shared" si="3"/>
        <v>0</v>
      </c>
      <c r="Q31">
        <f t="shared" si="4"/>
        <v>0</v>
      </c>
      <c r="R31">
        <f>CEILING(F31*K31,1)</f>
        <v>0</v>
      </c>
      <c r="S31" s="2">
        <f t="shared" si="5"/>
        <v>0</v>
      </c>
      <c r="T31">
        <f t="shared" si="6"/>
        <v>0</v>
      </c>
      <c r="U31">
        <f t="shared" si="7"/>
        <v>0</v>
      </c>
      <c r="V31" s="2">
        <f t="shared" si="8"/>
        <v>0</v>
      </c>
      <c r="W31" s="20">
        <f t="shared" si="9"/>
        <v>0</v>
      </c>
      <c r="X31">
        <f t="shared" si="10"/>
        <v>0</v>
      </c>
      <c r="Y31" s="2">
        <f t="shared" si="11"/>
        <v>0</v>
      </c>
      <c r="Z31" s="2"/>
      <c r="AA31" s="2"/>
      <c r="AB31" s="2"/>
      <c r="AD31" s="2"/>
    </row>
    <row r="32" spans="3:30" x14ac:dyDescent="0.45">
      <c r="D32" s="11"/>
      <c r="E32" s="11"/>
      <c r="F32" s="12"/>
      <c r="G32" s="12"/>
      <c r="H32" s="12"/>
      <c r="I32" s="11"/>
      <c r="J32" s="11"/>
      <c r="K32" s="17"/>
      <c r="L32" s="2">
        <f t="shared" si="12"/>
        <v>0</v>
      </c>
      <c r="M32" s="2">
        <f t="shared" si="13"/>
        <v>0</v>
      </c>
      <c r="N32" s="2">
        <f t="shared" si="1"/>
        <v>0</v>
      </c>
      <c r="O32" s="20">
        <f t="shared" si="2"/>
        <v>0</v>
      </c>
      <c r="P32" s="22">
        <f t="shared" si="3"/>
        <v>0</v>
      </c>
      <c r="Q32">
        <f t="shared" si="4"/>
        <v>0</v>
      </c>
      <c r="R32">
        <f>CEILING(F32*K32,1)</f>
        <v>0</v>
      </c>
      <c r="S32" s="2">
        <f t="shared" si="5"/>
        <v>0</v>
      </c>
      <c r="T32">
        <f t="shared" si="6"/>
        <v>0</v>
      </c>
      <c r="U32">
        <f t="shared" si="7"/>
        <v>0</v>
      </c>
      <c r="V32" s="2">
        <f t="shared" si="8"/>
        <v>0</v>
      </c>
      <c r="W32" s="20">
        <f t="shared" si="9"/>
        <v>0</v>
      </c>
      <c r="X32">
        <f t="shared" si="10"/>
        <v>0</v>
      </c>
      <c r="Y32" s="2">
        <f t="shared" si="11"/>
        <v>0</v>
      </c>
      <c r="Z32" s="2"/>
      <c r="AA32" s="2"/>
      <c r="AB32" s="2"/>
      <c r="AD32" s="2"/>
    </row>
    <row r="33" spans="3:30" x14ac:dyDescent="0.45">
      <c r="D33" s="11"/>
      <c r="E33" s="11"/>
      <c r="F33" s="12"/>
      <c r="G33" s="12"/>
      <c r="H33" s="12"/>
      <c r="I33" s="11"/>
      <c r="J33" s="11"/>
      <c r="K33" s="17"/>
      <c r="L33" s="2">
        <f t="shared" si="12"/>
        <v>0</v>
      </c>
      <c r="M33" s="2">
        <f t="shared" si="13"/>
        <v>0</v>
      </c>
      <c r="N33" s="2">
        <f t="shared" si="1"/>
        <v>0</v>
      </c>
      <c r="O33" s="20">
        <f t="shared" si="2"/>
        <v>0</v>
      </c>
      <c r="P33" s="22">
        <f t="shared" si="3"/>
        <v>0</v>
      </c>
      <c r="Q33">
        <f t="shared" si="4"/>
        <v>0</v>
      </c>
      <c r="R33">
        <f>CEILING(F33*K33,1)</f>
        <v>0</v>
      </c>
      <c r="S33" s="2">
        <f t="shared" si="5"/>
        <v>0</v>
      </c>
      <c r="T33">
        <f t="shared" si="6"/>
        <v>0</v>
      </c>
      <c r="U33">
        <f t="shared" si="7"/>
        <v>0</v>
      </c>
      <c r="V33" s="2">
        <f t="shared" si="8"/>
        <v>0</v>
      </c>
      <c r="W33" s="20">
        <f t="shared" si="9"/>
        <v>0</v>
      </c>
      <c r="X33">
        <f t="shared" si="10"/>
        <v>0</v>
      </c>
      <c r="Y33" s="2">
        <f t="shared" si="11"/>
        <v>0</v>
      </c>
      <c r="Z33" s="2"/>
      <c r="AA33" s="2"/>
      <c r="AB33" s="2"/>
      <c r="AD33" s="2"/>
    </row>
    <row r="34" spans="3:30" x14ac:dyDescent="0.45">
      <c r="C34" t="s">
        <v>24</v>
      </c>
      <c r="D34" s="10">
        <v>375000</v>
      </c>
      <c r="E34" s="11">
        <v>33</v>
      </c>
      <c r="F34" s="12">
        <v>0.25</v>
      </c>
      <c r="G34" s="12">
        <v>0.15</v>
      </c>
      <c r="H34" s="12">
        <v>0.25</v>
      </c>
      <c r="I34" s="13">
        <v>0.97</v>
      </c>
      <c r="J34" s="11">
        <v>75</v>
      </c>
      <c r="K34" s="18">
        <v>0</v>
      </c>
      <c r="L34" s="2">
        <f t="shared" si="12"/>
        <v>0</v>
      </c>
      <c r="M34" s="2">
        <f t="shared" si="13"/>
        <v>0</v>
      </c>
      <c r="N34" s="2">
        <f t="shared" si="1"/>
        <v>0</v>
      </c>
      <c r="O34" s="20">
        <f t="shared" si="2"/>
        <v>0</v>
      </c>
      <c r="P34" s="22">
        <f t="shared" si="3"/>
        <v>0</v>
      </c>
      <c r="Q34">
        <f t="shared" si="4"/>
        <v>0</v>
      </c>
      <c r="R34">
        <f>CEILING(F34*K34,1)</f>
        <v>0</v>
      </c>
      <c r="S34" s="2">
        <f t="shared" si="5"/>
        <v>0</v>
      </c>
      <c r="T34">
        <f t="shared" si="6"/>
        <v>0</v>
      </c>
      <c r="U34">
        <f t="shared" si="7"/>
        <v>0</v>
      </c>
      <c r="V34" s="2">
        <f t="shared" si="8"/>
        <v>0</v>
      </c>
      <c r="W34" s="20">
        <f t="shared" si="9"/>
        <v>0</v>
      </c>
      <c r="X34">
        <f t="shared" si="10"/>
        <v>0</v>
      </c>
      <c r="Y34" s="2">
        <f t="shared" si="11"/>
        <v>0</v>
      </c>
      <c r="Z34" s="2"/>
      <c r="AA34" s="2"/>
      <c r="AB34" s="2"/>
      <c r="AD34" s="2"/>
    </row>
    <row r="35" spans="3:30" x14ac:dyDescent="0.45">
      <c r="C35" t="s">
        <v>25</v>
      </c>
      <c r="D35" s="10">
        <v>380000</v>
      </c>
      <c r="E35" s="11">
        <v>35</v>
      </c>
      <c r="F35" s="12">
        <v>0.15</v>
      </c>
      <c r="G35" s="12">
        <v>0.1</v>
      </c>
      <c r="H35" s="12">
        <v>0.25</v>
      </c>
      <c r="I35" s="13">
        <v>0.95</v>
      </c>
      <c r="J35" s="11">
        <v>85</v>
      </c>
      <c r="K35" s="17">
        <v>0</v>
      </c>
      <c r="L35" s="2">
        <f t="shared" si="12"/>
        <v>0</v>
      </c>
      <c r="M35" s="2">
        <f t="shared" si="13"/>
        <v>0</v>
      </c>
      <c r="N35" s="2">
        <f t="shared" si="1"/>
        <v>0</v>
      </c>
      <c r="O35" s="20">
        <f t="shared" si="2"/>
        <v>0</v>
      </c>
      <c r="P35" s="22">
        <f t="shared" si="3"/>
        <v>0</v>
      </c>
      <c r="Q35">
        <f t="shared" si="4"/>
        <v>0</v>
      </c>
      <c r="R35">
        <f>CEILING(F35*K35,1)</f>
        <v>0</v>
      </c>
      <c r="S35" s="2">
        <f t="shared" si="5"/>
        <v>0</v>
      </c>
      <c r="T35">
        <f t="shared" si="6"/>
        <v>0</v>
      </c>
      <c r="U35">
        <f t="shared" si="7"/>
        <v>0</v>
      </c>
      <c r="V35" s="2">
        <f t="shared" si="8"/>
        <v>0</v>
      </c>
      <c r="W35" s="20">
        <f t="shared" si="9"/>
        <v>0</v>
      </c>
      <c r="X35">
        <f t="shared" si="10"/>
        <v>0</v>
      </c>
      <c r="Y35" s="2">
        <f t="shared" si="11"/>
        <v>0</v>
      </c>
      <c r="Z35" s="2"/>
      <c r="AA35" s="2"/>
      <c r="AB35" s="2"/>
      <c r="AD35" s="2"/>
    </row>
    <row r="36" spans="3:30" x14ac:dyDescent="0.45">
      <c r="C36" t="s">
        <v>22</v>
      </c>
      <c r="D36" s="10">
        <v>445000</v>
      </c>
      <c r="E36" s="11">
        <v>41</v>
      </c>
      <c r="F36" s="12">
        <v>0.1</v>
      </c>
      <c r="G36" s="12">
        <v>0.1</v>
      </c>
      <c r="H36" s="12">
        <v>0.3</v>
      </c>
      <c r="I36" s="13">
        <v>0.97</v>
      </c>
      <c r="J36" s="11">
        <v>95</v>
      </c>
      <c r="K36" s="17">
        <v>80</v>
      </c>
      <c r="L36" s="2">
        <f t="shared" si="12"/>
        <v>35600000</v>
      </c>
      <c r="M36" s="2">
        <f t="shared" si="13"/>
        <v>7120000</v>
      </c>
      <c r="N36" s="2">
        <f t="shared" si="1"/>
        <v>22800000</v>
      </c>
      <c r="O36" s="20">
        <f t="shared" si="2"/>
        <v>3280</v>
      </c>
      <c r="P36" s="22">
        <f t="shared" si="3"/>
        <v>25788672</v>
      </c>
      <c r="Q36">
        <f t="shared" si="4"/>
        <v>8</v>
      </c>
      <c r="R36">
        <f>CEILING(F36*K36,1)</f>
        <v>8</v>
      </c>
      <c r="S36" s="2">
        <f t="shared" si="5"/>
        <v>2795520</v>
      </c>
      <c r="T36">
        <f t="shared" si="6"/>
        <v>24</v>
      </c>
      <c r="U36">
        <f t="shared" si="7"/>
        <v>24</v>
      </c>
      <c r="V36" s="2">
        <f t="shared" si="8"/>
        <v>5241600</v>
      </c>
      <c r="W36" s="20">
        <f t="shared" si="9"/>
        <v>8</v>
      </c>
      <c r="X36">
        <f t="shared" si="10"/>
        <v>8</v>
      </c>
      <c r="Y36" s="2">
        <f t="shared" si="11"/>
        <v>4000000</v>
      </c>
      <c r="Z36" s="2"/>
      <c r="AA36" s="2"/>
      <c r="AB36" s="2"/>
      <c r="AD36" s="2"/>
    </row>
    <row r="37" spans="3:30" x14ac:dyDescent="0.45">
      <c r="D37" s="11"/>
      <c r="E37" s="11"/>
      <c r="F37" s="11"/>
      <c r="G37" s="11"/>
      <c r="H37" s="11"/>
      <c r="I37" s="11"/>
      <c r="J37" s="11"/>
      <c r="K37" s="17"/>
      <c r="L37" s="2">
        <f t="shared" si="12"/>
        <v>0</v>
      </c>
      <c r="M37" s="2">
        <f t="shared" si="13"/>
        <v>0</v>
      </c>
      <c r="N37" s="2">
        <f t="shared" si="1"/>
        <v>0</v>
      </c>
      <c r="O37" s="20">
        <f t="shared" si="2"/>
        <v>0</v>
      </c>
      <c r="P37" s="22">
        <f t="shared" si="3"/>
        <v>0</v>
      </c>
      <c r="Q37">
        <f t="shared" si="4"/>
        <v>0</v>
      </c>
      <c r="R37">
        <f>CEILING(F37*K37,1)</f>
        <v>0</v>
      </c>
      <c r="S37" s="2">
        <f t="shared" si="5"/>
        <v>0</v>
      </c>
      <c r="T37">
        <f t="shared" si="6"/>
        <v>0</v>
      </c>
      <c r="U37">
        <f t="shared" si="7"/>
        <v>0</v>
      </c>
      <c r="V37" s="2">
        <f t="shared" si="8"/>
        <v>0</v>
      </c>
      <c r="W37" s="20">
        <f t="shared" si="9"/>
        <v>0</v>
      </c>
      <c r="X37">
        <f t="shared" si="10"/>
        <v>0</v>
      </c>
      <c r="Y37" s="2">
        <f t="shared" si="11"/>
        <v>0</v>
      </c>
      <c r="Z37" s="2"/>
      <c r="AA37" s="2"/>
      <c r="AB37" s="2"/>
      <c r="AD37" s="2"/>
    </row>
    <row r="38" spans="3:30" x14ac:dyDescent="0.45">
      <c r="K38" t="s">
        <v>39</v>
      </c>
      <c r="L38" s="2">
        <f>SUM(L24:L37)</f>
        <v>86600000</v>
      </c>
      <c r="M38" s="2">
        <f>SUM(M24:M37)</f>
        <v>17320000</v>
      </c>
      <c r="N38" s="2">
        <f>SUM(N24:N37)</f>
        <v>66300000</v>
      </c>
      <c r="O38" s="20" cm="1">
        <f t="array" ref="O38">MIN(_xlfn._xlws.FILTER(O24:O37,O24:O37&gt;0))</f>
        <v>3280</v>
      </c>
      <c r="P38" s="22">
        <f t="shared" si="3"/>
        <v>25788672</v>
      </c>
      <c r="Q38">
        <f>SUM(Q24:Q37)</f>
        <v>38</v>
      </c>
      <c r="R38">
        <f>SUM(R24:R37)</f>
        <v>38</v>
      </c>
      <c r="S38" s="2">
        <f>R38*$D$40*$N$6</f>
        <v>13278720</v>
      </c>
      <c r="T38">
        <f>SUM(T24:T37)</f>
        <v>54</v>
      </c>
      <c r="U38">
        <f>SUM(U24:U37)</f>
        <v>54</v>
      </c>
      <c r="V38" s="2">
        <f t="shared" si="8"/>
        <v>11793600</v>
      </c>
      <c r="W38" s="20">
        <f>SUM(W24:W37)</f>
        <v>28</v>
      </c>
      <c r="X38">
        <f>SUM(X24:X37)</f>
        <v>28</v>
      </c>
      <c r="Y38" s="2">
        <f t="shared" si="11"/>
        <v>14000000</v>
      </c>
      <c r="AA38" s="2"/>
      <c r="AD38" s="2"/>
    </row>
    <row r="39" spans="3:30" x14ac:dyDescent="0.45">
      <c r="C39" t="s">
        <v>32</v>
      </c>
      <c r="D39" s="10">
        <v>25</v>
      </c>
      <c r="E39" t="s">
        <v>29</v>
      </c>
      <c r="W39" s="2"/>
      <c r="AA39" s="2"/>
      <c r="AD39" s="2"/>
    </row>
    <row r="40" spans="3:30" x14ac:dyDescent="0.45">
      <c r="C40" t="s">
        <v>30</v>
      </c>
      <c r="D40" s="10">
        <v>40</v>
      </c>
      <c r="E40" t="s">
        <v>29</v>
      </c>
    </row>
    <row r="41" spans="3:30" x14ac:dyDescent="0.45">
      <c r="C41" t="s">
        <v>56</v>
      </c>
      <c r="D41" s="10">
        <v>125000</v>
      </c>
      <c r="E41" t="s">
        <v>20</v>
      </c>
      <c r="R41" t="s">
        <v>62</v>
      </c>
      <c r="S41" s="2">
        <f>S38*(1+$D$44)</f>
        <v>17262336</v>
      </c>
      <c r="U41" t="s">
        <v>62</v>
      </c>
      <c r="V41" s="2">
        <f>V38*(1+$D$44)</f>
        <v>15331680</v>
      </c>
      <c r="X41" t="s">
        <v>62</v>
      </c>
      <c r="Y41" s="2">
        <f>Y38*(1+$D$44)</f>
        <v>18200000</v>
      </c>
    </row>
    <row r="42" spans="3:30" x14ac:dyDescent="0.45">
      <c r="C42" t="s">
        <v>27</v>
      </c>
      <c r="D42" s="10">
        <v>2500000</v>
      </c>
      <c r="E42" t="s">
        <v>20</v>
      </c>
      <c r="J42" s="5" t="s">
        <v>69</v>
      </c>
      <c r="K42" s="5" t="s">
        <v>10</v>
      </c>
      <c r="L42" s="5" t="s">
        <v>70</v>
      </c>
      <c r="N42" t="s">
        <v>55</v>
      </c>
      <c r="O42" s="21">
        <f>I25*I30*I34</f>
        <v>0.82973799999999986</v>
      </c>
    </row>
    <row r="43" spans="3:30" x14ac:dyDescent="0.45">
      <c r="D43" s="11"/>
      <c r="J43" t="s">
        <v>71</v>
      </c>
      <c r="K43" s="3">
        <f>$J$17*$P$38</f>
        <v>130004048.07936002</v>
      </c>
      <c r="L43" s="3">
        <f>K43/$O$43</f>
        <v>6.0755684687702853</v>
      </c>
      <c r="N43" t="s">
        <v>57</v>
      </c>
      <c r="O43" s="22">
        <f>FLOOR(P38*O42,1)</f>
        <v>21397841</v>
      </c>
    </row>
    <row r="44" spans="3:30" x14ac:dyDescent="0.45">
      <c r="C44" t="s">
        <v>33</v>
      </c>
      <c r="D44" s="13">
        <v>0.3</v>
      </c>
      <c r="J44" t="s">
        <v>72</v>
      </c>
      <c r="K44" s="2">
        <f>S41+V41+Y41</f>
        <v>50794016</v>
      </c>
      <c r="L44" s="3">
        <f t="shared" ref="L44:L48" si="14">K44/$O$43</f>
        <v>2.3737916362683507</v>
      </c>
    </row>
    <row r="45" spans="3:30" x14ac:dyDescent="0.45">
      <c r="J45" t="s">
        <v>0</v>
      </c>
      <c r="K45" s="2">
        <f>M38</f>
        <v>17320000</v>
      </c>
      <c r="L45" s="3">
        <f t="shared" si="14"/>
        <v>0.80942745578864705</v>
      </c>
    </row>
    <row r="46" spans="3:30" x14ac:dyDescent="0.45">
      <c r="J46" t="s">
        <v>73</v>
      </c>
      <c r="K46" s="2">
        <f>D21+N38</f>
        <v>69000000</v>
      </c>
      <c r="L46" s="3">
        <f t="shared" si="14"/>
        <v>3.2246243908439172</v>
      </c>
    </row>
    <row r="47" spans="3:30" x14ac:dyDescent="0.45">
      <c r="J47" s="5" t="s">
        <v>74</v>
      </c>
      <c r="K47" s="24">
        <f>D42</f>
        <v>2500000</v>
      </c>
      <c r="L47" s="3">
        <f t="shared" si="14"/>
        <v>0.11683421705956222</v>
      </c>
    </row>
    <row r="48" spans="3:30" x14ac:dyDescent="0.45">
      <c r="J48" s="23" t="s">
        <v>75</v>
      </c>
      <c r="K48" s="3">
        <f>SUM(K43:K47)</f>
        <v>269618064.07936001</v>
      </c>
      <c r="L48" s="3">
        <f t="shared" si="14"/>
        <v>12.600246168730761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Browning</dc:creator>
  <cp:lastModifiedBy>Keona Arneson</cp:lastModifiedBy>
  <dcterms:created xsi:type="dcterms:W3CDTF">2012-08-16T19:09:15Z</dcterms:created>
  <dcterms:modified xsi:type="dcterms:W3CDTF">2026-05-01T20:10:03Z</dcterms:modified>
</cp:coreProperties>
</file>