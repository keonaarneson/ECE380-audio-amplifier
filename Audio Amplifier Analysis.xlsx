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es\Documents\BSU\Spring '26\ECE380+L\Lecture\Audio Amplifier Project\"/>
    </mc:Choice>
  </mc:AlternateContent>
  <xr:revisionPtr revIDLastSave="0" documentId="13_ncr:1_{63F748DA-2C89-49F5-B3BD-E564612EC9B0}" xr6:coauthVersionLast="47" xr6:coauthVersionMax="47" xr10:uidLastSave="{00000000-0000-0000-0000-000000000000}"/>
  <bookViews>
    <workbookView xWindow="28690" yWindow="-3770" windowWidth="38620" windowHeight="21100" xr2:uid="{22D8A2AD-0845-425E-B09A-BD62FD1F1CB1}"/>
  </bookViews>
  <sheets>
    <sheet name="Final Values" sheetId="22" r:id="rId1"/>
    <sheet name="Data Table" sheetId="1" r:id="rId2"/>
    <sheet name="Cbyp" sheetId="7" r:id="rId3"/>
    <sheet name="CB" sheetId="6" r:id="rId4"/>
    <sheet name="Vs" sheetId="8" r:id="rId5"/>
    <sheet name="VsigDC" sheetId="11" r:id="rId6"/>
    <sheet name="Rl" sheetId="12" r:id="rId7"/>
    <sheet name="Rpot" sheetId="21" r:id="rId8"/>
  </sheets>
  <definedNames>
    <definedName name="ExternalData_1" localSheetId="3" hidden="1">'CB'!$A$1:$C$23</definedName>
    <definedName name="ExternalData_1" localSheetId="2" hidden="1">'Cbyp'!$A$1:$C$11</definedName>
    <definedName name="ExternalData_1" localSheetId="6" hidden="1">'Rl'!$A$1:$C$4</definedName>
    <definedName name="ExternalData_1" localSheetId="7" hidden="1">Rpot!$A$1:$B$26</definedName>
    <definedName name="ExternalData_1" localSheetId="4" hidden="1">Vs!$A$1:$C$8</definedName>
    <definedName name="ExternalData_2" localSheetId="5" hidden="1">VsigDC!$A$1:$C$22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F68989-13E6-4936-887D-90831FC586A9}" keepAlive="1" name="Query - Audio Amplifier fH &amp; fL vs Rl" description="Connection to the 'Audio Amplifier fH &amp; fL vs Rl' query in the workbook." type="5" refreshedVersion="0" background="1">
    <dbPr connection="Provider=Microsoft.Mashup.OleDb.1;Data Source=$Workbook$;Location=&quot;Audio Amplifier fH &amp; fL vs Rl&quot;;Extended Properties=&quot;&quot;" command="SELECT * FROM [Audio Amplifier fH &amp; fL vs Rl]"/>
  </connection>
  <connection id="2" xr16:uid="{BAEB3324-C3EE-49E9-BA09-ADC8F4D51B02}" keepAlive="1" name="Query - Audio Amplifier fH vs Vs" description="Connection to the 'Audio Amplifier fH vs Vs' query in the workbook." type="5" refreshedVersion="0" background="1">
    <dbPr connection="Provider=Microsoft.Mashup.OleDb.1;Data Source=$Workbook$;Location=&quot;Audio Amplifier fH vs Vs&quot;;Extended Properties=&quot;&quot;" command="SELECT * FROM [Audio Amplifier fH vs Vs]"/>
  </connection>
  <connection id="3" xr16:uid="{AF90F843-DE79-4F29-8998-D6EB77401FA6}" keepAlive="1" name="Query - Audio Amplifier fL vs Cb" description="Connection to the 'Audio Amplifier fL vs Cb' query in the workbook." type="5" refreshedVersion="0" background="1">
    <dbPr connection="Provider=Microsoft.Mashup.OleDb.1;Data Source=$Workbook$;Location=&quot;Audio Amplifier fL vs Cb&quot;;Extended Properties=&quot;&quot;" command="SELECT * FROM [Audio Amplifier fL vs Cb]"/>
  </connection>
  <connection id="4" xr16:uid="{60A502D9-D92A-4BEA-9850-F940267F9136}" keepAlive="1" name="Query - Cb" description="Connection to the 'Cb' query in the workbook." type="5" refreshedVersion="8" background="1" saveData="1">
    <dbPr connection="Provider=Microsoft.Mashup.OleDb.1;Data Source=$Workbook$;Location=Cb;Extended Properties=&quot;&quot;" command="SELECT * FROM [Cb]"/>
  </connection>
  <connection id="5" xr16:uid="{ABB2161D-9BAF-4C30-BB70-EAE7403A696F}" keepAlive="1" name="Query - CB_CMRR" description="Connection to the 'CB_CMRR' query in the workbook." type="5" refreshedVersion="0" background="1">
    <dbPr connection="Provider=Microsoft.Mashup.OleDb.1;Data Source=$Workbook$;Location=CB_CMRR;Extended Properties=&quot;&quot;" command="SELECT * FROM [CB_CMRR]"/>
  </connection>
  <connection id="6" xr16:uid="{7AD78C1B-D9C1-4EE6-9C53-08526EC618FD}" keepAlive="1" name="Query - CB_IRN" description="Connection to the 'CB_IRN' query in the workbook." type="5" refreshedVersion="0" background="1">
    <dbPr connection="Provider=Microsoft.Mashup.OleDb.1;Data Source=$Workbook$;Location=CB_IRN;Extended Properties=&quot;&quot;" command="SELECT * FROM [CB_IRN]"/>
  </connection>
  <connection id="7" xr16:uid="{59D0E0BA-2491-49C6-BCB7-6FA101A45F6F}" keepAlive="1" name="Query - CB_PSRR" description="Connection to the 'CB_PSRR' query in the workbook." type="5" refreshedVersion="0" background="1">
    <dbPr connection="Provider=Microsoft.Mashup.OleDb.1;Data Source=$Workbook$;Location=CB_PSRR;Extended Properties=&quot;&quot;" command="SELECT * FROM [CB_PSRR]"/>
  </connection>
  <connection id="8" xr16:uid="{32D1C880-7DD2-4071-8E98-889F906145F8}" keepAlive="1" name="Query - Cbyp" description="Connection to the 'Cbyp' query in the workbook." type="5" refreshedVersion="8" background="1" saveData="1">
    <dbPr connection="Provider=Microsoft.Mashup.OleDb.1;Data Source=$Workbook$;Location=Cbyp;Extended Properties=&quot;&quot;" command="SELECT * FROM [Cbyp]"/>
  </connection>
  <connection id="9" xr16:uid="{2739714A-DFD6-4865-B2B5-EA38946C0F42}" keepAlive="1" name="Query - Cbyp_CMRR" description="Connection to the 'Cbyp_CMRR' query in the workbook." type="5" refreshedVersion="0" background="1">
    <dbPr connection="Provider=Microsoft.Mashup.OleDb.1;Data Source=$Workbook$;Location=Cbyp_CMRR;Extended Properties=&quot;&quot;" command="SELECT * FROM [Cbyp_CMRR]"/>
  </connection>
  <connection id="10" xr16:uid="{97A2CEDC-F8E1-4C0D-9E25-88C67567F8C9}" keepAlive="1" name="Query - Cbyp_IRN" description="Connection to the 'Cbyp_IRN' query in the workbook." type="5" refreshedVersion="0" background="1">
    <dbPr connection="Provider=Microsoft.Mashup.OleDb.1;Data Source=$Workbook$;Location=Cbyp_IRN;Extended Properties=&quot;&quot;" command="SELECT * FROM [Cbyp_IRN]"/>
  </connection>
  <connection id="11" xr16:uid="{37CB7ABC-3ED8-4B31-AEA0-2B1D8B760A3A}" keepAlive="1" name="Query - Cbyp_PSRR" description="Connection to the 'Cbyp_PSRR' query in the workbook." type="5" refreshedVersion="0" background="1">
    <dbPr connection="Provider=Microsoft.Mashup.OleDb.1;Data Source=$Workbook$;Location=Cbyp_PSRR;Extended Properties=&quot;&quot;" command="SELECT * FROM [Cbyp_PSRR]"/>
  </connection>
  <connection id="12" xr16:uid="{B72CBC13-B6AF-4A50-A240-C3DB42F50CC9}" keepAlive="1" name="Query - Rl" description="Connection to the 'Rl' query in the workbook." type="5" refreshedVersion="8" background="1" saveData="1">
    <dbPr connection="Provider=Microsoft.Mashup.OleDb.1;Data Source=$Workbook$;Location=Rl;Extended Properties=&quot;&quot;" command="SELECT * FROM [Rl]"/>
  </connection>
  <connection id="13" xr16:uid="{6ED96E95-AFE1-48FD-AEEC-C00F47530E7A}" keepAlive="1" name="Query - Rpot_IRN" description="Connection to the 'Rpot_IRN' query in the workbook." type="5" refreshedVersion="8" background="1" saveData="1">
    <dbPr connection="Provider=Microsoft.Mashup.OleDb.1;Data Source=$Workbook$;Location=Rpot_IRN;Extended Properties=&quot;&quot;" command="SELECT * FROM [Rpot_IRN]"/>
  </connection>
  <connection id="14" xr16:uid="{3AA26A26-E911-472B-99D4-FC5C4871821E}" keepAlive="1" name="Query - Vs" description="Connection to the 'Vs' query in the workbook." type="5" refreshedVersion="8" background="1" saveData="1">
    <dbPr connection="Provider=Microsoft.Mashup.OleDb.1;Data Source=$Workbook$;Location=Vs;Extended Properties=&quot;&quot;" command="SELECT * FROM [Vs]"/>
  </connection>
  <connection id="15" xr16:uid="{DD4445C2-AA07-4B58-AE4C-CFA730BA3AAA}" keepAlive="1" name="Query - Vs_CMRR" description="Connection to the 'Vs_CMRR' query in the workbook." type="5" refreshedVersion="0" background="1">
    <dbPr connection="Provider=Microsoft.Mashup.OleDb.1;Data Source=$Workbook$;Location=Vs_CMRR;Extended Properties=&quot;&quot;" command="SELECT * FROM [Vs_CMRR]"/>
  </connection>
  <connection id="16" xr16:uid="{55DC8B0C-7C2E-4DEF-A9A6-1DAC1257450D}" keepAlive="1" name="Query - Vs_IRN" description="Connection to the 'Vs_IRN' query in the workbook." type="5" refreshedVersion="0" background="1">
    <dbPr connection="Provider=Microsoft.Mashup.OleDb.1;Data Source=$Workbook$;Location=Vs_IRN;Extended Properties=&quot;&quot;" command="SELECT * FROM [Vs_IRN]"/>
  </connection>
  <connection id="17" xr16:uid="{F2B34813-3FE8-44AD-875D-C2B2D57A3E91}" keepAlive="1" name="Query - Vs_PSRR" description="Connection to the 'Vs_PSRR' query in the workbook." type="5" refreshedVersion="0" background="1">
    <dbPr connection="Provider=Microsoft.Mashup.OleDb.1;Data Source=$Workbook$;Location=Vs_PSRR;Extended Properties=&quot;&quot;" command="SELECT * FROM [Vs_PSRR]"/>
  </connection>
  <connection id="18" xr16:uid="{1AF69FEF-1A9A-4D49-8575-7A939CE994AF}" keepAlive="1" name="Query - VsigDC" description="Connection to the 'VsigDC' query in the workbook." type="5" refreshedVersion="0" background="1">
    <dbPr connection="Provider=Microsoft.Mashup.OleDb.1;Data Source=$Workbook$;Location=VsigDC;Extended Properties=&quot;&quot;" command="SELECT * FROM [VsigDC]"/>
  </connection>
  <connection id="19" xr16:uid="{407D2A4F-B03D-47C9-8BA0-F56079CF270D}" keepAlive="1" name="Query - VsigDC (2)" description="Connection to the 'VsigDC (2)' query in the workbook." type="5" refreshedVersion="8" background="1" saveData="1">
    <dbPr connection="Provider=Microsoft.Mashup.OleDb.1;Data Source=$Workbook$;Location=&quot;VsigDC (2)&quot;;Extended Properties=&quot;&quot;" command="SELECT * FROM [VsigDC (2)]"/>
  </connection>
  <connection id="20" xr16:uid="{CB40C154-9B43-414F-84CF-806ACEDB3748}" keepAlive="1" name="Query - VsigDC_CMRR" description="Connection to the 'VsigDC_CMRR' query in the workbook." type="5" refreshedVersion="0" background="1">
    <dbPr connection="Provider=Microsoft.Mashup.OleDb.1;Data Source=$Workbook$;Location=VsigDC_CMRR;Extended Properties=&quot;&quot;" command="SELECT * FROM [VsigDC_CMRR]"/>
  </connection>
  <connection id="21" xr16:uid="{A3027867-1A5F-4289-937C-AE8A022AC591}" keepAlive="1" name="Query - VsigDC_IRN" description="Connection to the 'VsigDC_IRN' query in the workbook." type="5" refreshedVersion="0" background="1">
    <dbPr connection="Provider=Microsoft.Mashup.OleDb.1;Data Source=$Workbook$;Location=VsigDC_IRN;Extended Properties=&quot;&quot;" command="SELECT * FROM [VsigDC_IRN]"/>
  </connection>
  <connection id="22" xr16:uid="{C6D19787-7D9D-452C-ABD9-469E846FA41A}" keepAlive="1" name="Query - VsigDC_PSRR" description="Connection to the 'VsigDC_PSRR' query in the workbook." type="5" refreshedVersion="0" background="1">
    <dbPr connection="Provider=Microsoft.Mashup.OleDb.1;Data Source=$Workbook$;Location=VsigDC_PSRR;Extended Properties=&quot;&quot;" command="SELECT * FROM [VsigDC_PSRR]"/>
  </connection>
</connections>
</file>

<file path=xl/sharedStrings.xml><?xml version="1.0" encoding="utf-8"?>
<sst xmlns="http://schemas.openxmlformats.org/spreadsheetml/2006/main" count="163" uniqueCount="92">
  <si>
    <t>Parameter</t>
  </si>
  <si>
    <t>Low cutoff frequency, fL</t>
  </si>
  <si>
    <t>High cutoff frequency, fH</t>
  </si>
  <si>
    <t>CMRR</t>
  </si>
  <si>
    <t>PSRR</t>
  </si>
  <si>
    <t>Input Referred Noise. (IRN)</t>
  </si>
  <si>
    <t>Cbyp</t>
  </si>
  <si>
    <t>Cb</t>
  </si>
  <si>
    <t>Vs</t>
  </si>
  <si>
    <t>VsigDC</t>
  </si>
  <si>
    <t>Rload</t>
  </si>
  <si>
    <t>Rpot</t>
  </si>
  <si>
    <t>X</t>
  </si>
  <si>
    <t>~</t>
  </si>
  <si>
    <t xml:space="preserve"> ↓ </t>
  </si>
  <si>
    <t>↑</t>
  </si>
  <si>
    <t>↑=Increasing component value, increasing performance metric</t>
  </si>
  <si>
    <t>↓ =Increasing component value, decreasing performance metric</t>
  </si>
  <si>
    <t>~ No sensitivty</t>
  </si>
  <si>
    <t>Table 3: Component Descriptions</t>
  </si>
  <si>
    <t>Amplifier Bypass capacitor</t>
  </si>
  <si>
    <t>Output DC blocking capacitor</t>
  </si>
  <si>
    <t>Magnitude of the power supply</t>
  </si>
  <si>
    <t>DC offset (Common Mode) value of the input audio source</t>
  </si>
  <si>
    <t>The load resistance (speaker)</t>
  </si>
  <si>
    <t>The potentiometer resistance</t>
  </si>
  <si>
    <t>Name</t>
  </si>
  <si>
    <t>Description</t>
  </si>
  <si>
    <t>Range</t>
  </si>
  <si>
    <t>10uF max</t>
  </si>
  <si>
    <t>220uF max</t>
  </si>
  <si>
    <t>6V to 12V</t>
  </si>
  <si>
    <t xml:space="preserve"> -200mV to 200mV</t>
  </si>
  <si>
    <t>4Ω, 8Ω, 16Ω</t>
  </si>
  <si>
    <t>2kΩ to 50kΩ</t>
  </si>
  <si>
    <t>Table 2: Sensitivity Analysis</t>
  </si>
  <si>
    <t>CMRR (dB)</t>
  </si>
  <si>
    <t>fL (Hz)</t>
  </si>
  <si>
    <t>fH (Hz)</t>
  </si>
  <si>
    <t>VsigDC (V)</t>
  </si>
  <si>
    <t>PSRR (dB)</t>
  </si>
  <si>
    <t>CB</t>
  </si>
  <si>
    <t>Rl</t>
  </si>
  <si>
    <t>VsigDC_CMRR (E5) is ↑ from -200m to -80m, then flat afterword</t>
  </si>
  <si>
    <t>Cbyp (F)</t>
  </si>
  <si>
    <t>IRN (V/Hz1/2)</t>
  </si>
  <si>
    <t>VsigDC_IRN (E7) is  ↓ from -0.2 to 0.16, then bounces up (*there is weird behavior when VsigDC goes past 0.16V in general)</t>
  </si>
  <si>
    <t>When we ignore the weird behavior from 0.16V to 20V, we get this graph:</t>
  </si>
  <si>
    <t xml:space="preserve"> ↓ ↑</t>
  </si>
  <si>
    <t xml:space="preserve"> ↓ ↑ = Increasing component can increase and decrease performance metric</t>
  </si>
  <si>
    <t>Rpot_IRN (G7) is  ↓ from 2k to 12k and ↑ from 12k to 50k</t>
  </si>
  <si>
    <t>MOP @ 1kHz and 1% THD (W)</t>
  </si>
  <si>
    <t>± 0.037% tolerance of THD</t>
  </si>
  <si>
    <t>± 0.066% tolerance of THD</t>
  </si>
  <si>
    <t>± 0.011% tolerance of THD</t>
  </si>
  <si>
    <t xml:space="preserve"> ↑↓</t>
  </si>
  <si>
    <t>Maximum Output Power @ 1kHz and 1% THD</t>
  </si>
  <si>
    <t>VsigDC when greater than 140mV has weird behavior and should be avoided for the final parameter selection</t>
  </si>
  <si>
    <t>*when ignoring VsigDC &gt;= 140mV</t>
  </si>
  <si>
    <r>
      <t>VsigDC_MOP (E8) is ↑ from -0.2V to around</t>
    </r>
    <r>
      <rPr>
        <sz val="11"/>
        <color theme="1"/>
        <rFont val="Aptos Narrow"/>
        <family val="2"/>
      </rPr>
      <t xml:space="preserve"> -0.04V</t>
    </r>
    <r>
      <rPr>
        <sz val="11"/>
        <color theme="1"/>
        <rFont val="Aptos Narrow"/>
        <family val="2"/>
        <scheme val="minor"/>
      </rPr>
      <t xml:space="preserve"> and ↓ from around -0.04V to 0.2V</t>
    </r>
  </si>
  <si>
    <t>Final Values</t>
  </si>
  <si>
    <r>
      <t xml:space="preserve">12.5k </t>
    </r>
    <r>
      <rPr>
        <sz val="11"/>
        <color theme="1"/>
        <rFont val="Aptos Narrow"/>
        <family val="2"/>
      </rPr>
      <t>Ω</t>
    </r>
  </si>
  <si>
    <r>
      <t xml:space="preserve">8 </t>
    </r>
    <r>
      <rPr>
        <sz val="11"/>
        <color theme="1"/>
        <rFont val="Aptos Narrow"/>
        <family val="2"/>
      </rPr>
      <t>Ω</t>
    </r>
  </si>
  <si>
    <t>12 V</t>
  </si>
  <si>
    <t>10uF</t>
  </si>
  <si>
    <t>220uF</t>
  </si>
  <si>
    <t>Engineering Design Requirements</t>
  </si>
  <si>
    <t>✓</t>
  </si>
  <si>
    <t>Table 1: Audio Amplifier Design Specifications</t>
  </si>
  <si>
    <r>
      <t xml:space="preserve">1. </t>
    </r>
    <r>
      <rPr>
        <b/>
        <sz val="11"/>
        <color theme="1"/>
        <rFont val="Aptos Narrow"/>
        <family val="2"/>
        <scheme val="minor"/>
      </rPr>
      <t>THD &lt; 1%</t>
    </r>
    <r>
      <rPr>
        <sz val="11"/>
        <color theme="1"/>
        <rFont val="Aptos Narrow"/>
        <family val="2"/>
        <scheme val="minor"/>
      </rPr>
      <t>, 1kHz input, 8 Ω load, @ 1 W output</t>
    </r>
  </si>
  <si>
    <r>
      <t>2.</t>
    </r>
    <r>
      <rPr>
        <b/>
        <sz val="11"/>
        <color theme="1"/>
        <rFont val="Aptos Narrow"/>
        <family val="2"/>
        <scheme val="minor"/>
      </rPr>
      <t xml:space="preserve"> IRN &lt; 75 nV/√Hz</t>
    </r>
    <r>
      <rPr>
        <sz val="11"/>
        <color theme="1"/>
        <rFont val="Aptos Narrow"/>
        <family val="2"/>
        <scheme val="minor"/>
      </rPr>
      <t>, 100Hz to 20kHz</t>
    </r>
  </si>
  <si>
    <r>
      <t xml:space="preserve">3. </t>
    </r>
    <r>
      <rPr>
        <b/>
        <sz val="11"/>
        <color theme="1"/>
        <rFont val="Aptos Narrow"/>
        <family val="2"/>
        <scheme val="minor"/>
      </rPr>
      <t>PSRR &gt; 60 dB</t>
    </r>
    <r>
      <rPr>
        <sz val="11"/>
        <color theme="1"/>
        <rFont val="Aptos Narrow"/>
        <family val="2"/>
        <scheme val="minor"/>
      </rPr>
      <t>, 100 Hz to 20kHz</t>
    </r>
  </si>
  <si>
    <r>
      <t xml:space="preserve">4. </t>
    </r>
    <r>
      <rPr>
        <b/>
        <sz val="11"/>
        <color theme="1"/>
        <rFont val="Aptos Narrow"/>
        <family val="2"/>
        <scheme val="minor"/>
      </rPr>
      <t>CMRR &gt; 60 dB</t>
    </r>
    <r>
      <rPr>
        <sz val="11"/>
        <color theme="1"/>
        <rFont val="Aptos Narrow"/>
        <family val="2"/>
        <scheme val="minor"/>
      </rPr>
      <t>, 100Hz to 20kHz</t>
    </r>
  </si>
  <si>
    <t>✓, range = 89.9 Hz - 449.9kHz</t>
  </si>
  <si>
    <t>✓, 0.21%</t>
  </si>
  <si>
    <t>✓, 26.8 nV/√Hz</t>
  </si>
  <si>
    <t>✓, 65.6 dB</t>
  </si>
  <si>
    <t>✓, 62.6 dB</t>
  </si>
  <si>
    <t>✓, 55.4%</t>
  </si>
  <si>
    <t>✓, 26.2 dB</t>
  </si>
  <si>
    <r>
      <t xml:space="preserve">9. </t>
    </r>
    <r>
      <rPr>
        <b/>
        <sz val="11"/>
        <color theme="1"/>
        <rFont val="Aptos Narrow"/>
        <family val="2"/>
        <scheme val="minor"/>
      </rPr>
      <t>Efficiency &gt; 40%</t>
    </r>
    <r>
      <rPr>
        <sz val="11"/>
        <color theme="1"/>
        <rFont val="Aptos Narrow"/>
        <family val="2"/>
        <scheme val="minor"/>
      </rPr>
      <t xml:space="preserve"> at Pmax Power Output</t>
    </r>
  </si>
  <si>
    <r>
      <t xml:space="preserve">5. </t>
    </r>
    <r>
      <rPr>
        <b/>
        <sz val="11"/>
        <color theme="1"/>
        <rFont val="Aptos Narrow"/>
        <family val="2"/>
        <scheme val="minor"/>
      </rPr>
      <t xml:space="preserve">Gain Constant </t>
    </r>
    <r>
      <rPr>
        <b/>
        <sz val="11"/>
        <color theme="1"/>
        <rFont val="Aptos Narrow"/>
        <family val="2"/>
      </rPr>
      <t>± 3dB</t>
    </r>
    <r>
      <rPr>
        <sz val="11"/>
        <color theme="1"/>
        <rFont val="Aptos Narrow"/>
        <family val="2"/>
      </rPr>
      <t xml:space="preserve"> over 100 Hz to 20kHz</t>
    </r>
  </si>
  <si>
    <r>
      <t xml:space="preserve">✓, 6053 </t>
    </r>
    <r>
      <rPr>
        <sz val="11"/>
        <color theme="1"/>
        <rFont val="Aptos Narrow"/>
        <family val="2"/>
      </rPr>
      <t>Ω</t>
    </r>
  </si>
  <si>
    <t>✓, 0.08 Ω</t>
  </si>
  <si>
    <r>
      <t xml:space="preserve">12. </t>
    </r>
    <r>
      <rPr>
        <b/>
        <sz val="11"/>
        <color theme="1"/>
        <rFont val="Aptos Narrow"/>
        <family val="2"/>
        <scheme val="minor"/>
      </rPr>
      <t>AC Input Impedance &gt; 1 kΩ</t>
    </r>
  </si>
  <si>
    <r>
      <t xml:space="preserve">13. </t>
    </r>
    <r>
      <rPr>
        <b/>
        <sz val="11"/>
        <color theme="1"/>
        <rFont val="Aptos Narrow"/>
        <family val="2"/>
        <scheme val="minor"/>
      </rPr>
      <t>AC Output Impendance &lt; 1 Ω</t>
    </r>
  </si>
  <si>
    <r>
      <rPr>
        <sz val="11"/>
        <color theme="1"/>
        <rFont val="Aptos Narrow"/>
        <family val="2"/>
        <scheme val="minor"/>
      </rPr>
      <t xml:space="preserve">10. </t>
    </r>
    <r>
      <rPr>
        <b/>
        <sz val="11"/>
        <color theme="1"/>
        <rFont val="Aptos Narrow"/>
        <family val="2"/>
        <scheme val="minor"/>
      </rPr>
      <t>Max Gain &gt; 26 dB</t>
    </r>
  </si>
  <si>
    <r>
      <t xml:space="preserve">14. </t>
    </r>
    <r>
      <rPr>
        <b/>
        <sz val="11"/>
        <color theme="1"/>
        <rFont val="Aptos Narrow"/>
        <family val="2"/>
        <scheme val="minor"/>
      </rPr>
      <t>Function</t>
    </r>
  </si>
  <si>
    <t>Max W @ 1% THD = 1.20W</t>
  </si>
  <si>
    <t>0.1W to 1.32W</t>
  </si>
  <si>
    <t>THD</t>
  </si>
  <si>
    <t>Pout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</si>
</sst>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/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1" xfId="0" applyBorder="1"/>
    <xf numFmtId="2" fontId="0" fillId="0" borderId="0" xfId="0" applyNumberFormat="1"/>
    <xf numFmtId="1" fontId="0" fillId="0" borderId="0" xfId="0" applyNumberFormat="1"/>
    <xf numFmtId="11" fontId="0" fillId="0" borderId="0" xfId="0" applyNumberFormat="1"/>
    <xf numFmtId="0" fontId="3" fillId="0" borderId="3" xfId="0" applyFont="1" applyBorder="1" applyAlignment="1">
      <alignment horizontal="center"/>
    </xf>
    <xf numFmtId="0" fontId="4" fillId="0" borderId="0" xfId="0" applyFont="1"/>
    <xf numFmtId="0" fontId="0" fillId="0" borderId="5" xfId="0" applyBorder="1"/>
    <xf numFmtId="0" fontId="0" fillId="0" borderId="12" xfId="0" applyBorder="1"/>
    <xf numFmtId="0" fontId="1" fillId="0" borderId="12" xfId="0" applyFont="1" applyBorder="1"/>
    <xf numFmtId="10" fontId="0" fillId="0" borderId="0" xfId="0" applyNumberFormat="1"/>
    <xf numFmtId="10" fontId="0" fillId="0" borderId="10" xfId="0" applyNumberFormat="1" applyBorder="1"/>
    <xf numFmtId="0" fontId="1" fillId="0" borderId="10" xfId="0" applyFont="1" applyBorder="1"/>
    <xf numFmtId="173" fontId="0" fillId="0" borderId="0" xfId="0" applyNumberFormat="1"/>
  </cellXfs>
  <cellStyles count="1">
    <cellStyle name="Normal" xfId="0" builtinId="0"/>
  </cellStyles>
  <dxfs count="19"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5" formatCode="0.00E+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THD</a:t>
            </a:r>
            <a:r>
              <a:rPr lang="en-US" baseline="0"/>
              <a:t> vs. Pout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'Final Values'!$A$22:$A$32</c:f>
              <c:numCache>
                <c:formatCode>0.000</c:formatCode>
                <c:ptCount val="11"/>
                <c:pt idx="0">
                  <c:v>9.7893186912700006E-2</c:v>
                </c:pt>
                <c:pt idx="1">
                  <c:v>0.15974597499000001</c:v>
                </c:pt>
                <c:pt idx="2">
                  <c:v>0.236656451282</c:v>
                </c:pt>
                <c:pt idx="3">
                  <c:v>0.32860485704699999</c:v>
                </c:pt>
                <c:pt idx="4">
                  <c:v>0.43555143377099997</c:v>
                </c:pt>
                <c:pt idx="5">
                  <c:v>0.55741498182899996</c:v>
                </c:pt>
                <c:pt idx="6">
                  <c:v>0.69402827354999996</c:v>
                </c:pt>
                <c:pt idx="7">
                  <c:v>0.845051319701</c:v>
                </c:pt>
                <c:pt idx="8">
                  <c:v>1.00983015282</c:v>
                </c:pt>
                <c:pt idx="9">
                  <c:v>1.17967453848</c:v>
                </c:pt>
                <c:pt idx="10">
                  <c:v>1.32651220203</c:v>
                </c:pt>
              </c:numCache>
            </c:numRef>
          </c:xVal>
          <c:yVal>
            <c:numRef>
              <c:f>'Final Values'!$B$22:$B$32</c:f>
              <c:numCache>
                <c:formatCode>0.00%</c:formatCode>
                <c:ptCount val="11"/>
                <c:pt idx="0">
                  <c:v>2.3571600000000001E-3</c:v>
                </c:pt>
                <c:pt idx="1">
                  <c:v>2.32351E-3</c:v>
                </c:pt>
                <c:pt idx="2">
                  <c:v>2.2616300000000002E-3</c:v>
                </c:pt>
                <c:pt idx="3">
                  <c:v>2.17301E-3</c:v>
                </c:pt>
                <c:pt idx="4">
                  <c:v>2.0521099999999998E-3</c:v>
                </c:pt>
                <c:pt idx="5">
                  <c:v>1.88915E-3</c:v>
                </c:pt>
                <c:pt idx="6">
                  <c:v>1.6924100000000001E-3</c:v>
                </c:pt>
                <c:pt idx="7">
                  <c:v>1.62729E-3</c:v>
                </c:pt>
                <c:pt idx="8">
                  <c:v>2.1747699999999999E-3</c:v>
                </c:pt>
                <c:pt idx="9">
                  <c:v>8.0291800000000003E-3</c:v>
                </c:pt>
                <c:pt idx="10">
                  <c:v>3.0925310000000001E-2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B6-40CF-A271-90274EDE5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783088"/>
        <c:axId val="1854787888"/>
      </c:scatterChart>
      <c:valAx>
        <c:axId val="185478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Pout</a:t>
                </a:r>
                <a:r>
                  <a:rPr lang="en-US" baseline="0"/>
                  <a:t> (W)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787888"/>
        <c:crosses val="autoZero"/>
        <c:crossBetween val="midCat"/>
      </c:valAx>
      <c:valAx>
        <c:axId val="185478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Harmonic Distortion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78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'Cbyp'!$D$1</c:f>
              <c:strCache>
                <c:ptCount val="1"/>
                <c:pt idx="0">
                  <c:v>CMRR (dB)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'Cbyp'!$A$2:$A$11</c:f>
              <c:numCache>
                <c:formatCode>General</c:formatCode>
                <c:ptCount val="10"/>
                <c:pt idx="0">
                  <c:v>9.9999999999999995E-7</c:v>
                </c:pt>
                <c:pt idx="1">
                  <c:v>1.9999999999999999E-6</c:v>
                </c:pt>
                <c:pt idx="2">
                  <c:v>3.0000000000000001E-6</c:v>
                </c:pt>
                <c:pt idx="3">
                  <c:v>3.9999999999999998E-6</c:v>
                </c:pt>
                <c:pt idx="4">
                  <c:v>5.0000000000000004E-6</c:v>
                </c:pt>
                <c:pt idx="5">
                  <c:v>6.0000000000000002E-6</c:v>
                </c:pt>
                <c:pt idx="6">
                  <c:v>6.9999999999999999E-6</c:v>
                </c:pt>
                <c:pt idx="7">
                  <c:v>7.9999999999999996E-6</c:v>
                </c:pt>
                <c:pt idx="8">
                  <c:v>9.0000000000000002E-6</c:v>
                </c:pt>
                <c:pt idx="9">
                  <c:v>1.0000000000000001E-5</c:v>
                </c:pt>
              </c:numCache>
            </c:numRef>
          </c:xVal>
          <c:yVal>
            <c:numRef>
              <c:f>'Cbyp'!$D$2:$D$11</c:f>
              <c:numCache>
                <c:formatCode>0.00</c:formatCode>
                <c:ptCount val="10"/>
                <c:pt idx="0">
                  <c:v>45.7059548366</c:v>
                </c:pt>
                <c:pt idx="1">
                  <c:v>51.453431356300001</c:v>
                </c:pt>
                <c:pt idx="2">
                  <c:v>54.7382936968</c:v>
                </c:pt>
                <c:pt idx="3">
                  <c:v>56.9495224506</c:v>
                </c:pt>
                <c:pt idx="4">
                  <c:v>58.550088218399999</c:v>
                </c:pt>
                <c:pt idx="5">
                  <c:v>59.755944617499999</c:v>
                </c:pt>
                <c:pt idx="6">
                  <c:v>60.687961530599999</c:v>
                </c:pt>
                <c:pt idx="7">
                  <c:v>61.421684828399997</c:v>
                </c:pt>
                <c:pt idx="8">
                  <c:v>62.0077302487</c:v>
                </c:pt>
                <c:pt idx="9">
                  <c:v>62.481570320199999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D6-4CFB-9BA6-589BBCA6756B}"/>
            </c:ext>
          </c:extLst>
        </c:ser>
        <c:ser>
          <c:idx val="3"/>
          <c:order val="3"/>
          <c:tx>
            <c:strRef>
              <c:f>'Cbyp'!$E$1</c:f>
              <c:strCache>
                <c:ptCount val="1"/>
                <c:pt idx="0">
                  <c:v>PSRR (dB)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'Cbyp'!$A$2:$A$11</c:f>
              <c:numCache>
                <c:formatCode>General</c:formatCode>
                <c:ptCount val="10"/>
                <c:pt idx="0">
                  <c:v>9.9999999999999995E-7</c:v>
                </c:pt>
                <c:pt idx="1">
                  <c:v>1.9999999999999999E-6</c:v>
                </c:pt>
                <c:pt idx="2">
                  <c:v>3.0000000000000001E-6</c:v>
                </c:pt>
                <c:pt idx="3">
                  <c:v>3.9999999999999998E-6</c:v>
                </c:pt>
                <c:pt idx="4">
                  <c:v>5.0000000000000004E-6</c:v>
                </c:pt>
                <c:pt idx="5">
                  <c:v>6.0000000000000002E-6</c:v>
                </c:pt>
                <c:pt idx="6">
                  <c:v>6.9999999999999999E-6</c:v>
                </c:pt>
                <c:pt idx="7">
                  <c:v>7.9999999999999996E-6</c:v>
                </c:pt>
                <c:pt idx="8">
                  <c:v>9.0000000000000002E-6</c:v>
                </c:pt>
                <c:pt idx="9">
                  <c:v>1.0000000000000001E-5</c:v>
                </c:pt>
              </c:numCache>
            </c:numRef>
          </c:xVal>
          <c:yVal>
            <c:numRef>
              <c:f>'Cbyp'!$E$2:$E$11</c:f>
              <c:numCache>
                <c:formatCode>0.00</c:formatCode>
                <c:ptCount val="10"/>
                <c:pt idx="0">
                  <c:v>45.812784179799998</c:v>
                </c:pt>
                <c:pt idx="1">
                  <c:v>51.686266342400003</c:v>
                </c:pt>
                <c:pt idx="2">
                  <c:v>55.172538864000003</c:v>
                </c:pt>
                <c:pt idx="3">
                  <c:v>57.649560416500002</c:v>
                </c:pt>
                <c:pt idx="4">
                  <c:v>59.567504283399998</c:v>
                </c:pt>
                <c:pt idx="5">
                  <c:v>61.129347667300003</c:v>
                </c:pt>
                <c:pt idx="6">
                  <c:v>62.4439726353</c:v>
                </c:pt>
                <c:pt idx="7">
                  <c:v>63.576586775000003</c:v>
                </c:pt>
                <c:pt idx="8">
                  <c:v>64.569350646100006</c:v>
                </c:pt>
                <c:pt idx="9">
                  <c:v>65.451110657200005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D6-4CFB-9BA6-589BBCA67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291967"/>
        <c:axId val="198228188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'Cbyp'!$B$1</c15:sqref>
                        </c15:formulaRef>
                      </c:ext>
                    </c:extLst>
                    <c:strCache>
                      <c:ptCount val="1"/>
                      <c:pt idx="0">
                        <c:v>fH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'Cbyp'!$A$2:$A$11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9.9999999999999995E-7</c:v>
                      </c:pt>
                      <c:pt idx="1">
                        <c:v>1.9999999999999999E-6</c:v>
                      </c:pt>
                      <c:pt idx="2">
                        <c:v>3.0000000000000001E-6</c:v>
                      </c:pt>
                      <c:pt idx="3">
                        <c:v>3.9999999999999998E-6</c:v>
                      </c:pt>
                      <c:pt idx="4">
                        <c:v>5.0000000000000004E-6</c:v>
                      </c:pt>
                      <c:pt idx="5">
                        <c:v>6.0000000000000002E-6</c:v>
                      </c:pt>
                      <c:pt idx="6">
                        <c:v>6.9999999999999999E-6</c:v>
                      </c:pt>
                      <c:pt idx="7">
                        <c:v>7.9999999999999996E-6</c:v>
                      </c:pt>
                      <c:pt idx="8">
                        <c:v>9.0000000000000002E-6</c:v>
                      </c:pt>
                      <c:pt idx="9">
                        <c:v>1.0000000000000001E-5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'Cbyp'!$B$2:$B$11</c15:sqref>
                        </c15:formulaRef>
                      </c:ext>
                    </c:extLst>
                    <c:numCache>
                      <c:formatCode>0</c:formatCode>
                      <c:ptCount val="10"/>
                      <c:pt idx="0">
                        <c:v>417397.5</c:v>
                      </c:pt>
                      <c:pt idx="1">
                        <c:v>417397.3</c:v>
                      </c:pt>
                      <c:pt idx="2">
                        <c:v>417397.2</c:v>
                      </c:pt>
                      <c:pt idx="3">
                        <c:v>417397.2</c:v>
                      </c:pt>
                      <c:pt idx="4">
                        <c:v>417397.2</c:v>
                      </c:pt>
                      <c:pt idx="5">
                        <c:v>417397.2</c:v>
                      </c:pt>
                      <c:pt idx="6">
                        <c:v>417397.2</c:v>
                      </c:pt>
                      <c:pt idx="7">
                        <c:v>417397.2</c:v>
                      </c:pt>
                      <c:pt idx="8">
                        <c:v>417397.2</c:v>
                      </c:pt>
                      <c:pt idx="9">
                        <c:v>417397.2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C0D6-4CFB-9BA6-589BBCA6756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'Cbyp'!$C$1</c15:sqref>
                        </c15:formulaRef>
                      </c:ext>
                    </c:extLst>
                    <c:strCache>
                      <c:ptCount val="1"/>
                      <c:pt idx="0">
                        <c:v>fL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'Cbyp'!$A$2:$A$11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9.9999999999999995E-7</c:v>
                      </c:pt>
                      <c:pt idx="1">
                        <c:v>1.9999999999999999E-6</c:v>
                      </c:pt>
                      <c:pt idx="2">
                        <c:v>3.0000000000000001E-6</c:v>
                      </c:pt>
                      <c:pt idx="3">
                        <c:v>3.9999999999999998E-6</c:v>
                      </c:pt>
                      <c:pt idx="4">
                        <c:v>5.0000000000000004E-6</c:v>
                      </c:pt>
                      <c:pt idx="5">
                        <c:v>6.0000000000000002E-6</c:v>
                      </c:pt>
                      <c:pt idx="6">
                        <c:v>6.9999999999999999E-6</c:v>
                      </c:pt>
                      <c:pt idx="7">
                        <c:v>7.9999999999999996E-6</c:v>
                      </c:pt>
                      <c:pt idx="8">
                        <c:v>9.0000000000000002E-6</c:v>
                      </c:pt>
                      <c:pt idx="9">
                        <c:v>1.0000000000000001E-5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'Cbyp'!$C$2:$C$11</c15:sqref>
                        </c15:formulaRef>
                      </c:ext>
                    </c:extLst>
                    <c:numCache>
                      <c:formatCode>0</c:formatCode>
                      <c:ptCount val="10"/>
                      <c:pt idx="0">
                        <c:v>198.68379999999999</c:v>
                      </c:pt>
                      <c:pt idx="1">
                        <c:v>198.54040000000001</c:v>
                      </c:pt>
                      <c:pt idx="2">
                        <c:v>198.49379999999999</c:v>
                      </c:pt>
                      <c:pt idx="3">
                        <c:v>198.4708</c:v>
                      </c:pt>
                      <c:pt idx="4">
                        <c:v>198.4571</c:v>
                      </c:pt>
                      <c:pt idx="5">
                        <c:v>198.44800000000001</c:v>
                      </c:pt>
                      <c:pt idx="6">
                        <c:v>198.44149999999999</c:v>
                      </c:pt>
                      <c:pt idx="7">
                        <c:v>198.4367</c:v>
                      </c:pt>
                      <c:pt idx="8">
                        <c:v>198.43289999999999</c:v>
                      </c:pt>
                      <c:pt idx="9">
                        <c:v>198.4299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0D6-4CFB-9BA6-589BBCA6756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'Cbyp'!$F$1</c15:sqref>
                        </c15:formulaRef>
                      </c:ext>
                    </c:extLst>
                    <c:strCache>
                      <c:ptCount val="1"/>
                      <c:pt idx="0">
                        <c:v>IRN (V/Hz1/2)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'Cbyp'!$A$2:$A$11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9.9999999999999995E-7</c:v>
                      </c:pt>
                      <c:pt idx="1">
                        <c:v>1.9999999999999999E-6</c:v>
                      </c:pt>
                      <c:pt idx="2">
                        <c:v>3.0000000000000001E-6</c:v>
                      </c:pt>
                      <c:pt idx="3">
                        <c:v>3.9999999999999998E-6</c:v>
                      </c:pt>
                      <c:pt idx="4">
                        <c:v>5.0000000000000004E-6</c:v>
                      </c:pt>
                      <c:pt idx="5">
                        <c:v>6.0000000000000002E-6</c:v>
                      </c:pt>
                      <c:pt idx="6">
                        <c:v>6.9999999999999999E-6</c:v>
                      </c:pt>
                      <c:pt idx="7">
                        <c:v>7.9999999999999996E-6</c:v>
                      </c:pt>
                      <c:pt idx="8">
                        <c:v>9.0000000000000002E-6</c:v>
                      </c:pt>
                      <c:pt idx="9">
                        <c:v>1.0000000000000001E-5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'Cbyp'!$F$2:$F$11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2.9910589999999997E-8</c:v>
                      </c:pt>
                      <c:pt idx="1">
                        <c:v>2.991062E-8</c:v>
                      </c:pt>
                      <c:pt idx="2">
                        <c:v>2.9910629999999997E-8</c:v>
                      </c:pt>
                      <c:pt idx="3">
                        <c:v>2.9910629999999997E-8</c:v>
                      </c:pt>
                      <c:pt idx="4">
                        <c:v>2.9910629999999997E-8</c:v>
                      </c:pt>
                      <c:pt idx="5">
                        <c:v>2.991064E-8</c:v>
                      </c:pt>
                      <c:pt idx="6">
                        <c:v>2.991064E-8</c:v>
                      </c:pt>
                      <c:pt idx="7">
                        <c:v>2.991064E-8</c:v>
                      </c:pt>
                      <c:pt idx="8">
                        <c:v>2.991064E-8</c:v>
                      </c:pt>
                      <c:pt idx="9">
                        <c:v>2.991064E-8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0D6-4CFB-9BA6-589BBCA6756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'Cbyp'!$G$1</c15:sqref>
                        </c15:formulaRef>
                      </c:ext>
                    </c:extLst>
                    <c:strCache>
                      <c:ptCount val="1"/>
                      <c:pt idx="0">
                        <c:v>MOP @ 1kHz and 1% THD (W)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'Cbyp'!$A$2:$A$11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9.9999999999999995E-7</c:v>
                      </c:pt>
                      <c:pt idx="1">
                        <c:v>1.9999999999999999E-6</c:v>
                      </c:pt>
                      <c:pt idx="2">
                        <c:v>3.0000000000000001E-6</c:v>
                      </c:pt>
                      <c:pt idx="3">
                        <c:v>3.9999999999999998E-6</c:v>
                      </c:pt>
                      <c:pt idx="4">
                        <c:v>5.0000000000000004E-6</c:v>
                      </c:pt>
                      <c:pt idx="5">
                        <c:v>6.0000000000000002E-6</c:v>
                      </c:pt>
                      <c:pt idx="6">
                        <c:v>6.9999999999999999E-6</c:v>
                      </c:pt>
                      <c:pt idx="7">
                        <c:v>7.9999999999999996E-6</c:v>
                      </c:pt>
                      <c:pt idx="8">
                        <c:v>9.0000000000000002E-6</c:v>
                      </c:pt>
                      <c:pt idx="9">
                        <c:v>1.0000000000000001E-5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'Cbyp'!$G$2:$G$11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0.52239999999999998</c:v>
                      </c:pt>
                      <c:pt idx="1">
                        <c:v>0.5222</c:v>
                      </c:pt>
                      <c:pt idx="2">
                        <c:v>0.51910000000000001</c:v>
                      </c:pt>
                      <c:pt idx="3">
                        <c:v>0.51900000000000002</c:v>
                      </c:pt>
                      <c:pt idx="4">
                        <c:v>0.51900000000000002</c:v>
                      </c:pt>
                      <c:pt idx="5">
                        <c:v>0.51890000000000003</c:v>
                      </c:pt>
                      <c:pt idx="6">
                        <c:v>0.51890000000000003</c:v>
                      </c:pt>
                      <c:pt idx="7">
                        <c:v>0.51890000000000003</c:v>
                      </c:pt>
                      <c:pt idx="8">
                        <c:v>0.51890000000000003</c:v>
                      </c:pt>
                      <c:pt idx="9">
                        <c:v>0.51890000000000003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F6B-4E7F-89EF-EFFFB087FB91}"/>
                  </c:ext>
                </c:extLst>
              </c15:ser>
            </c15:filteredScatterSeries>
          </c:ext>
        </c:extLst>
      </c:scatterChart>
      <c:valAx>
        <c:axId val="198229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281887"/>
        <c:crosses val="autoZero"/>
        <c:crossBetween val="midCat"/>
      </c:valAx>
      <c:valAx>
        <c:axId val="19822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291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'CB'!$C$1</c:f>
              <c:strCache>
                <c:ptCount val="1"/>
                <c:pt idx="0">
                  <c:v>fL (Hz)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'CB'!$A$2:$A$23</c:f>
              <c:numCache>
                <c:formatCode>General</c:formatCode>
                <c:ptCount val="22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</c:numCache>
            </c:numRef>
          </c:xVal>
          <c:yVal>
            <c:numRef>
              <c:f>'CB'!$C$2:$C$23</c:f>
              <c:numCache>
                <c:formatCode>0</c:formatCode>
                <c:ptCount val="22"/>
                <c:pt idx="0">
                  <c:v>1984.721</c:v>
                </c:pt>
                <c:pt idx="1">
                  <c:v>992.89059999999995</c:v>
                </c:pt>
                <c:pt idx="2">
                  <c:v>667.46489999999994</c:v>
                </c:pt>
                <c:pt idx="3">
                  <c:v>496.74189999999999</c:v>
                </c:pt>
                <c:pt idx="4">
                  <c:v>396.93529999999998</c:v>
                </c:pt>
                <c:pt idx="5">
                  <c:v>333.7747</c:v>
                </c:pt>
                <c:pt idx="6">
                  <c:v>287.13799999999998</c:v>
                </c:pt>
                <c:pt idx="7">
                  <c:v>248.59790000000001</c:v>
                </c:pt>
                <c:pt idx="8">
                  <c:v>223.47929999999999</c:v>
                </c:pt>
                <c:pt idx="9">
                  <c:v>198.68379999999999</c:v>
                </c:pt>
                <c:pt idx="10">
                  <c:v>182.7698</c:v>
                </c:pt>
                <c:pt idx="11">
                  <c:v>167.02</c:v>
                </c:pt>
                <c:pt idx="12">
                  <c:v>153.70410000000001</c:v>
                </c:pt>
                <c:pt idx="13">
                  <c:v>143.7449</c:v>
                </c:pt>
                <c:pt idx="14">
                  <c:v>133.82390000000001</c:v>
                </c:pt>
                <c:pt idx="15">
                  <c:v>124.49250000000001</c:v>
                </c:pt>
                <c:pt idx="16">
                  <c:v>118.1549</c:v>
                </c:pt>
                <c:pt idx="17">
                  <c:v>111.914</c:v>
                </c:pt>
                <c:pt idx="18">
                  <c:v>105.65009999999999</c:v>
                </c:pt>
                <c:pt idx="19">
                  <c:v>99.52852</c:v>
                </c:pt>
                <c:pt idx="20">
                  <c:v>95.511390000000006</c:v>
                </c:pt>
                <c:pt idx="21">
                  <c:v>91.563929999999999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85-4475-95FD-9EFF24BBC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996095"/>
        <c:axId val="86899465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'CB'!$B$1</c15:sqref>
                        </c15:formulaRef>
                      </c:ext>
                    </c:extLst>
                    <c:strCache>
                      <c:ptCount val="1"/>
                      <c:pt idx="0">
                        <c:v>fH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'CB'!$A$2:$A$23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1.0000000000000001E-5</c:v>
                      </c:pt>
                      <c:pt idx="1">
                        <c:v>2.0000000000000002E-5</c:v>
                      </c:pt>
                      <c:pt idx="2">
                        <c:v>3.0000000000000001E-5</c:v>
                      </c:pt>
                      <c:pt idx="3">
                        <c:v>4.0000000000000003E-5</c:v>
                      </c:pt>
                      <c:pt idx="4">
                        <c:v>5.0000000000000002E-5</c:v>
                      </c:pt>
                      <c:pt idx="5">
                        <c:v>6.0000000000000002E-5</c:v>
                      </c:pt>
                      <c:pt idx="6">
                        <c:v>6.9999999999999994E-5</c:v>
                      </c:pt>
                      <c:pt idx="7">
                        <c:v>8.0000000000000007E-5</c:v>
                      </c:pt>
                      <c:pt idx="8">
                        <c:v>9.0000000000000006E-5</c:v>
                      </c:pt>
                      <c:pt idx="9">
                        <c:v>1E-4</c:v>
                      </c:pt>
                      <c:pt idx="10">
                        <c:v>1.1E-4</c:v>
                      </c:pt>
                      <c:pt idx="11">
                        <c:v>1.2E-4</c:v>
                      </c:pt>
                      <c:pt idx="12">
                        <c:v>1.2999999999999999E-4</c:v>
                      </c:pt>
                      <c:pt idx="13">
                        <c:v>1.3999999999999999E-4</c:v>
                      </c:pt>
                      <c:pt idx="14">
                        <c:v>1.4999999999999999E-4</c:v>
                      </c:pt>
                      <c:pt idx="15">
                        <c:v>1.6000000000000001E-4</c:v>
                      </c:pt>
                      <c:pt idx="16">
                        <c:v>1.7000000000000001E-4</c:v>
                      </c:pt>
                      <c:pt idx="17">
                        <c:v>1.8000000000000001E-4</c:v>
                      </c:pt>
                      <c:pt idx="18">
                        <c:v>1.9000000000000001E-4</c:v>
                      </c:pt>
                      <c:pt idx="19">
                        <c:v>2.0000000000000001E-4</c:v>
                      </c:pt>
                      <c:pt idx="20">
                        <c:v>2.1000000000000001E-4</c:v>
                      </c:pt>
                      <c:pt idx="21">
                        <c:v>2.2000000000000001E-4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'CB'!$B$2:$B$23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417508.1</c:v>
                      </c:pt>
                      <c:pt idx="1">
                        <c:v>417419.6</c:v>
                      </c:pt>
                      <c:pt idx="2">
                        <c:v>417404.5</c:v>
                      </c:pt>
                      <c:pt idx="3">
                        <c:v>417400.2</c:v>
                      </c:pt>
                      <c:pt idx="4">
                        <c:v>417398.5</c:v>
                      </c:pt>
                      <c:pt idx="5">
                        <c:v>417397.8</c:v>
                      </c:pt>
                      <c:pt idx="6">
                        <c:v>417397.5</c:v>
                      </c:pt>
                      <c:pt idx="7">
                        <c:v>417397.4</c:v>
                      </c:pt>
                      <c:pt idx="8">
                        <c:v>417397.4</c:v>
                      </c:pt>
                      <c:pt idx="9">
                        <c:v>417397.5</c:v>
                      </c:pt>
                      <c:pt idx="10">
                        <c:v>417397.5</c:v>
                      </c:pt>
                      <c:pt idx="11">
                        <c:v>417397.6</c:v>
                      </c:pt>
                      <c:pt idx="12">
                        <c:v>417397.7</c:v>
                      </c:pt>
                      <c:pt idx="13">
                        <c:v>417397.7</c:v>
                      </c:pt>
                      <c:pt idx="14">
                        <c:v>417397.8</c:v>
                      </c:pt>
                      <c:pt idx="15">
                        <c:v>417397.8</c:v>
                      </c:pt>
                      <c:pt idx="16">
                        <c:v>417397.9</c:v>
                      </c:pt>
                      <c:pt idx="17">
                        <c:v>417398</c:v>
                      </c:pt>
                      <c:pt idx="18">
                        <c:v>417398</c:v>
                      </c:pt>
                      <c:pt idx="19">
                        <c:v>417398.1</c:v>
                      </c:pt>
                      <c:pt idx="20">
                        <c:v>417398.1</c:v>
                      </c:pt>
                      <c:pt idx="21">
                        <c:v>417398.2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0185-4475-95FD-9EFF24BBC72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'CB'!$D$1</c15:sqref>
                        </c15:formulaRef>
                      </c:ext>
                    </c:extLst>
                    <c:strCache>
                      <c:ptCount val="1"/>
                      <c:pt idx="0">
                        <c:v>CMRR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'CB'!$A$2:$A$23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1.0000000000000001E-5</c:v>
                      </c:pt>
                      <c:pt idx="1">
                        <c:v>2.0000000000000002E-5</c:v>
                      </c:pt>
                      <c:pt idx="2">
                        <c:v>3.0000000000000001E-5</c:v>
                      </c:pt>
                      <c:pt idx="3">
                        <c:v>4.0000000000000003E-5</c:v>
                      </c:pt>
                      <c:pt idx="4">
                        <c:v>5.0000000000000002E-5</c:v>
                      </c:pt>
                      <c:pt idx="5">
                        <c:v>6.0000000000000002E-5</c:v>
                      </c:pt>
                      <c:pt idx="6">
                        <c:v>6.9999999999999994E-5</c:v>
                      </c:pt>
                      <c:pt idx="7">
                        <c:v>8.0000000000000007E-5</c:v>
                      </c:pt>
                      <c:pt idx="8">
                        <c:v>9.0000000000000006E-5</c:v>
                      </c:pt>
                      <c:pt idx="9">
                        <c:v>1E-4</c:v>
                      </c:pt>
                      <c:pt idx="10">
                        <c:v>1.1E-4</c:v>
                      </c:pt>
                      <c:pt idx="11">
                        <c:v>1.2E-4</c:v>
                      </c:pt>
                      <c:pt idx="12">
                        <c:v>1.2999999999999999E-4</c:v>
                      </c:pt>
                      <c:pt idx="13">
                        <c:v>1.3999999999999999E-4</c:v>
                      </c:pt>
                      <c:pt idx="14">
                        <c:v>1.4999999999999999E-4</c:v>
                      </c:pt>
                      <c:pt idx="15">
                        <c:v>1.6000000000000001E-4</c:v>
                      </c:pt>
                      <c:pt idx="16">
                        <c:v>1.7000000000000001E-4</c:v>
                      </c:pt>
                      <c:pt idx="17">
                        <c:v>1.8000000000000001E-4</c:v>
                      </c:pt>
                      <c:pt idx="18">
                        <c:v>1.9000000000000001E-4</c:v>
                      </c:pt>
                      <c:pt idx="19">
                        <c:v>2.0000000000000001E-4</c:v>
                      </c:pt>
                      <c:pt idx="20">
                        <c:v>2.1000000000000001E-4</c:v>
                      </c:pt>
                      <c:pt idx="21">
                        <c:v>2.2000000000000001E-4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'CB'!$D$2:$D$23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62.481570391699996</c:v>
                      </c:pt>
                      <c:pt idx="1">
                        <c:v>62.481570390500003</c:v>
                      </c:pt>
                      <c:pt idx="2">
                        <c:v>62.481570388599998</c:v>
                      </c:pt>
                      <c:pt idx="3">
                        <c:v>62.4815703863</c:v>
                      </c:pt>
                      <c:pt idx="4">
                        <c:v>62.481570383499999</c:v>
                      </c:pt>
                      <c:pt idx="5">
                        <c:v>62.481570380400001</c:v>
                      </c:pt>
                      <c:pt idx="6">
                        <c:v>62.481570376800001</c:v>
                      </c:pt>
                      <c:pt idx="7">
                        <c:v>62.481570372999997</c:v>
                      </c:pt>
                      <c:pt idx="8">
                        <c:v>62.481570368900002</c:v>
                      </c:pt>
                      <c:pt idx="9">
                        <c:v>62.481570364699998</c:v>
                      </c:pt>
                      <c:pt idx="10">
                        <c:v>62.481570360500001</c:v>
                      </c:pt>
                      <c:pt idx="11">
                        <c:v>62.481570356299997</c:v>
                      </c:pt>
                      <c:pt idx="12">
                        <c:v>62.4815703521</c:v>
                      </c:pt>
                      <c:pt idx="13">
                        <c:v>62.481570347999998</c:v>
                      </c:pt>
                      <c:pt idx="14">
                        <c:v>62.481570343999998</c:v>
                      </c:pt>
                      <c:pt idx="15">
                        <c:v>62.481570340099999</c:v>
                      </c:pt>
                      <c:pt idx="16">
                        <c:v>62.481570336399997</c:v>
                      </c:pt>
                      <c:pt idx="17">
                        <c:v>62.481570332799997</c:v>
                      </c:pt>
                      <c:pt idx="18">
                        <c:v>62.4815703294</c:v>
                      </c:pt>
                      <c:pt idx="19">
                        <c:v>62.4815703262</c:v>
                      </c:pt>
                      <c:pt idx="20">
                        <c:v>62.481570323100001</c:v>
                      </c:pt>
                      <c:pt idx="21">
                        <c:v>62.481570320199999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185-4475-95FD-9EFF24BBC72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'CB'!$E$1</c15:sqref>
                        </c15:formulaRef>
                      </c:ext>
                    </c:extLst>
                    <c:strCache>
                      <c:ptCount val="1"/>
                      <c:pt idx="0">
                        <c:v>PSRR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'CB'!$A$2:$A$23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1.0000000000000001E-5</c:v>
                      </c:pt>
                      <c:pt idx="1">
                        <c:v>2.0000000000000002E-5</c:v>
                      </c:pt>
                      <c:pt idx="2">
                        <c:v>3.0000000000000001E-5</c:v>
                      </c:pt>
                      <c:pt idx="3">
                        <c:v>4.0000000000000003E-5</c:v>
                      </c:pt>
                      <c:pt idx="4">
                        <c:v>5.0000000000000002E-5</c:v>
                      </c:pt>
                      <c:pt idx="5">
                        <c:v>6.0000000000000002E-5</c:v>
                      </c:pt>
                      <c:pt idx="6">
                        <c:v>6.9999999999999994E-5</c:v>
                      </c:pt>
                      <c:pt idx="7">
                        <c:v>8.0000000000000007E-5</c:v>
                      </c:pt>
                      <c:pt idx="8">
                        <c:v>9.0000000000000006E-5</c:v>
                      </c:pt>
                      <c:pt idx="9">
                        <c:v>1E-4</c:v>
                      </c:pt>
                      <c:pt idx="10">
                        <c:v>1.1E-4</c:v>
                      </c:pt>
                      <c:pt idx="11">
                        <c:v>1.2E-4</c:v>
                      </c:pt>
                      <c:pt idx="12">
                        <c:v>1.2999999999999999E-4</c:v>
                      </c:pt>
                      <c:pt idx="13">
                        <c:v>1.3999999999999999E-4</c:v>
                      </c:pt>
                      <c:pt idx="14">
                        <c:v>1.4999999999999999E-4</c:v>
                      </c:pt>
                      <c:pt idx="15">
                        <c:v>1.6000000000000001E-4</c:v>
                      </c:pt>
                      <c:pt idx="16">
                        <c:v>1.7000000000000001E-4</c:v>
                      </c:pt>
                      <c:pt idx="17">
                        <c:v>1.8000000000000001E-4</c:v>
                      </c:pt>
                      <c:pt idx="18">
                        <c:v>1.9000000000000001E-4</c:v>
                      </c:pt>
                      <c:pt idx="19">
                        <c:v>2.0000000000000001E-4</c:v>
                      </c:pt>
                      <c:pt idx="20">
                        <c:v>2.1000000000000001E-4</c:v>
                      </c:pt>
                      <c:pt idx="21">
                        <c:v>2.2000000000000001E-4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'CB'!$E$2:$E$23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65.45</c:v>
                      </c:pt>
                      <c:pt idx="1">
                        <c:v>65.45</c:v>
                      </c:pt>
                      <c:pt idx="2">
                        <c:v>65.45</c:v>
                      </c:pt>
                      <c:pt idx="3">
                        <c:v>65.45</c:v>
                      </c:pt>
                      <c:pt idx="4">
                        <c:v>65.45</c:v>
                      </c:pt>
                      <c:pt idx="5">
                        <c:v>65.45</c:v>
                      </c:pt>
                      <c:pt idx="6">
                        <c:v>65.45</c:v>
                      </c:pt>
                      <c:pt idx="7">
                        <c:v>65.45</c:v>
                      </c:pt>
                      <c:pt idx="8">
                        <c:v>65.45</c:v>
                      </c:pt>
                      <c:pt idx="9">
                        <c:v>65.45</c:v>
                      </c:pt>
                      <c:pt idx="10">
                        <c:v>65.45</c:v>
                      </c:pt>
                      <c:pt idx="11">
                        <c:v>65.45</c:v>
                      </c:pt>
                      <c:pt idx="12">
                        <c:v>65.45</c:v>
                      </c:pt>
                      <c:pt idx="13">
                        <c:v>65.45</c:v>
                      </c:pt>
                      <c:pt idx="14">
                        <c:v>65.45</c:v>
                      </c:pt>
                      <c:pt idx="15">
                        <c:v>65.45</c:v>
                      </c:pt>
                      <c:pt idx="16">
                        <c:v>65.45</c:v>
                      </c:pt>
                      <c:pt idx="17">
                        <c:v>65.45</c:v>
                      </c:pt>
                      <c:pt idx="18">
                        <c:v>65.45</c:v>
                      </c:pt>
                      <c:pt idx="19">
                        <c:v>65.45</c:v>
                      </c:pt>
                      <c:pt idx="20">
                        <c:v>65.45</c:v>
                      </c:pt>
                      <c:pt idx="21">
                        <c:v>65.45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185-4475-95FD-9EFF24BBC72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'CB'!$F$1</c15:sqref>
                        </c15:formulaRef>
                      </c:ext>
                    </c:extLst>
                    <c:strCache>
                      <c:ptCount val="1"/>
                      <c:pt idx="0">
                        <c:v>IRN (V/Hz1/2)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'CB'!$A$2:$A$23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1.0000000000000001E-5</c:v>
                      </c:pt>
                      <c:pt idx="1">
                        <c:v>2.0000000000000002E-5</c:v>
                      </c:pt>
                      <c:pt idx="2">
                        <c:v>3.0000000000000001E-5</c:v>
                      </c:pt>
                      <c:pt idx="3">
                        <c:v>4.0000000000000003E-5</c:v>
                      </c:pt>
                      <c:pt idx="4">
                        <c:v>5.0000000000000002E-5</c:v>
                      </c:pt>
                      <c:pt idx="5">
                        <c:v>6.0000000000000002E-5</c:v>
                      </c:pt>
                      <c:pt idx="6">
                        <c:v>6.9999999999999994E-5</c:v>
                      </c:pt>
                      <c:pt idx="7">
                        <c:v>8.0000000000000007E-5</c:v>
                      </c:pt>
                      <c:pt idx="8">
                        <c:v>9.0000000000000006E-5</c:v>
                      </c:pt>
                      <c:pt idx="9">
                        <c:v>1E-4</c:v>
                      </c:pt>
                      <c:pt idx="10">
                        <c:v>1.1E-4</c:v>
                      </c:pt>
                      <c:pt idx="11">
                        <c:v>1.2E-4</c:v>
                      </c:pt>
                      <c:pt idx="12">
                        <c:v>1.2999999999999999E-4</c:v>
                      </c:pt>
                      <c:pt idx="13">
                        <c:v>1.3999999999999999E-4</c:v>
                      </c:pt>
                      <c:pt idx="14">
                        <c:v>1.4999999999999999E-4</c:v>
                      </c:pt>
                      <c:pt idx="15">
                        <c:v>1.6000000000000001E-4</c:v>
                      </c:pt>
                      <c:pt idx="16">
                        <c:v>1.7000000000000001E-4</c:v>
                      </c:pt>
                      <c:pt idx="17">
                        <c:v>1.8000000000000001E-4</c:v>
                      </c:pt>
                      <c:pt idx="18">
                        <c:v>1.9000000000000001E-4</c:v>
                      </c:pt>
                      <c:pt idx="19">
                        <c:v>2.0000000000000001E-4</c:v>
                      </c:pt>
                      <c:pt idx="20">
                        <c:v>2.1000000000000001E-4</c:v>
                      </c:pt>
                      <c:pt idx="21">
                        <c:v>2.2000000000000001E-4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'CB'!$F$2:$F$23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2.991232E-8</c:v>
                      </c:pt>
                      <c:pt idx="1">
                        <c:v>2.9910670000000003E-8</c:v>
                      </c:pt>
                      <c:pt idx="2">
                        <c:v>2.991064E-8</c:v>
                      </c:pt>
                      <c:pt idx="3">
                        <c:v>2.991064E-8</c:v>
                      </c:pt>
                      <c:pt idx="4">
                        <c:v>2.991064E-8</c:v>
                      </c:pt>
                      <c:pt idx="5">
                        <c:v>2.991064E-8</c:v>
                      </c:pt>
                      <c:pt idx="6">
                        <c:v>2.991064E-8</c:v>
                      </c:pt>
                      <c:pt idx="7">
                        <c:v>2.9910629999999997E-8</c:v>
                      </c:pt>
                      <c:pt idx="8">
                        <c:v>2.9910629999999997E-8</c:v>
                      </c:pt>
                      <c:pt idx="9">
                        <c:v>2.9910629999999997E-8</c:v>
                      </c:pt>
                      <c:pt idx="10">
                        <c:v>2.9910629999999997E-8</c:v>
                      </c:pt>
                      <c:pt idx="11">
                        <c:v>2.9910629999999997E-8</c:v>
                      </c:pt>
                      <c:pt idx="12">
                        <c:v>2.9910629999999997E-8</c:v>
                      </c:pt>
                      <c:pt idx="13">
                        <c:v>2.9910629999999997E-8</c:v>
                      </c:pt>
                      <c:pt idx="14">
                        <c:v>2.9910629999999997E-8</c:v>
                      </c:pt>
                      <c:pt idx="15">
                        <c:v>2.9910629999999997E-8</c:v>
                      </c:pt>
                      <c:pt idx="16">
                        <c:v>2.9910629999999997E-8</c:v>
                      </c:pt>
                      <c:pt idx="17">
                        <c:v>2.9910629999999997E-8</c:v>
                      </c:pt>
                      <c:pt idx="18">
                        <c:v>2.9910629999999997E-8</c:v>
                      </c:pt>
                      <c:pt idx="19">
                        <c:v>2.9910629999999997E-8</c:v>
                      </c:pt>
                      <c:pt idx="20">
                        <c:v>2.9910629999999997E-8</c:v>
                      </c:pt>
                      <c:pt idx="21">
                        <c:v>2.9910629999999997E-8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185-4475-95FD-9EFF24BBC72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'CB'!$G$1</c15:sqref>
                        </c15:formulaRef>
                      </c:ext>
                    </c:extLst>
                    <c:strCache>
                      <c:ptCount val="1"/>
                      <c:pt idx="0">
                        <c:v>MOP @ 1kHz and 1% THD (W)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'CB'!$A$2:$A$23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1.0000000000000001E-5</c:v>
                      </c:pt>
                      <c:pt idx="1">
                        <c:v>2.0000000000000002E-5</c:v>
                      </c:pt>
                      <c:pt idx="2">
                        <c:v>3.0000000000000001E-5</c:v>
                      </c:pt>
                      <c:pt idx="3">
                        <c:v>4.0000000000000003E-5</c:v>
                      </c:pt>
                      <c:pt idx="4">
                        <c:v>5.0000000000000002E-5</c:v>
                      </c:pt>
                      <c:pt idx="5">
                        <c:v>6.0000000000000002E-5</c:v>
                      </c:pt>
                      <c:pt idx="6">
                        <c:v>6.9999999999999994E-5</c:v>
                      </c:pt>
                      <c:pt idx="7">
                        <c:v>8.0000000000000007E-5</c:v>
                      </c:pt>
                      <c:pt idx="8">
                        <c:v>9.0000000000000006E-5</c:v>
                      </c:pt>
                      <c:pt idx="9">
                        <c:v>1E-4</c:v>
                      </c:pt>
                      <c:pt idx="10">
                        <c:v>1.1E-4</c:v>
                      </c:pt>
                      <c:pt idx="11">
                        <c:v>1.2E-4</c:v>
                      </c:pt>
                      <c:pt idx="12">
                        <c:v>1.2999999999999999E-4</c:v>
                      </c:pt>
                      <c:pt idx="13">
                        <c:v>1.3999999999999999E-4</c:v>
                      </c:pt>
                      <c:pt idx="14">
                        <c:v>1.4999999999999999E-4</c:v>
                      </c:pt>
                      <c:pt idx="15">
                        <c:v>1.6000000000000001E-4</c:v>
                      </c:pt>
                      <c:pt idx="16">
                        <c:v>1.7000000000000001E-4</c:v>
                      </c:pt>
                      <c:pt idx="17">
                        <c:v>1.8000000000000001E-4</c:v>
                      </c:pt>
                      <c:pt idx="18">
                        <c:v>1.9000000000000001E-4</c:v>
                      </c:pt>
                      <c:pt idx="19">
                        <c:v>2.0000000000000001E-4</c:v>
                      </c:pt>
                      <c:pt idx="20">
                        <c:v>2.1000000000000001E-4</c:v>
                      </c:pt>
                      <c:pt idx="21">
                        <c:v>2.2000000000000001E-4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'CB'!$G$2:$G$23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0.1166</c:v>
                      </c:pt>
                      <c:pt idx="1">
                        <c:v>0.28289999999999998</c:v>
                      </c:pt>
                      <c:pt idx="2">
                        <c:v>0.38429999999999997</c:v>
                      </c:pt>
                      <c:pt idx="3">
                        <c:v>0.43959999999999999</c:v>
                      </c:pt>
                      <c:pt idx="4">
                        <c:v>0.4698</c:v>
                      </c:pt>
                      <c:pt idx="5">
                        <c:v>0.48980000000000001</c:v>
                      </c:pt>
                      <c:pt idx="6">
                        <c:v>0.49969999999999998</c:v>
                      </c:pt>
                      <c:pt idx="7">
                        <c:v>0.50839999999999996</c:v>
                      </c:pt>
                      <c:pt idx="8">
                        <c:v>0.51449999999999996</c:v>
                      </c:pt>
                      <c:pt idx="9">
                        <c:v>0.51900000000000002</c:v>
                      </c:pt>
                      <c:pt idx="10">
                        <c:v>0.52229999999999999</c:v>
                      </c:pt>
                      <c:pt idx="11">
                        <c:v>0.52490000000000003</c:v>
                      </c:pt>
                      <c:pt idx="12">
                        <c:v>0.52690000000000003</c:v>
                      </c:pt>
                      <c:pt idx="13">
                        <c:v>0.52849999999999997</c:v>
                      </c:pt>
                      <c:pt idx="14">
                        <c:v>0.52980000000000005</c:v>
                      </c:pt>
                      <c:pt idx="15">
                        <c:v>0.53090000000000004</c:v>
                      </c:pt>
                      <c:pt idx="16">
                        <c:v>0.53180000000000005</c:v>
                      </c:pt>
                      <c:pt idx="17">
                        <c:v>0.53249999999999997</c:v>
                      </c:pt>
                      <c:pt idx="18">
                        <c:v>0.53310000000000002</c:v>
                      </c:pt>
                      <c:pt idx="19">
                        <c:v>0.53369999999999995</c:v>
                      </c:pt>
                      <c:pt idx="20">
                        <c:v>0.53410000000000002</c:v>
                      </c:pt>
                      <c:pt idx="21">
                        <c:v>0.53449999999999998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80A-4FA7-99B1-576BD86CB2AB}"/>
                  </c:ext>
                </c:extLst>
              </c15:ser>
            </c15:filteredScatterSeries>
          </c:ext>
        </c:extLst>
      </c:scatterChart>
      <c:valAx>
        <c:axId val="86899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94655"/>
        <c:crosses val="autoZero"/>
        <c:crossBetween val="midCat"/>
      </c:valAx>
      <c:valAx>
        <c:axId val="86899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9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5"/>
          <c:order val="5"/>
          <c:tx>
            <c:strRef>
              <c:f>'CB'!$G$1</c:f>
              <c:strCache>
                <c:ptCount val="1"/>
                <c:pt idx="0">
                  <c:v>MOP @ 1kHz and 1% THD (W)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'CB'!$A$2:$A$23</c:f>
              <c:numCache>
                <c:formatCode>General</c:formatCode>
                <c:ptCount val="22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</c:numCache>
            </c:numRef>
          </c:xVal>
          <c:yVal>
            <c:numRef>
              <c:f>'CB'!$G$2:$G$23</c:f>
              <c:numCache>
                <c:formatCode>General</c:formatCode>
                <c:ptCount val="22"/>
                <c:pt idx="0">
                  <c:v>0.1166</c:v>
                </c:pt>
                <c:pt idx="1">
                  <c:v>0.28289999999999998</c:v>
                </c:pt>
                <c:pt idx="2">
                  <c:v>0.38429999999999997</c:v>
                </c:pt>
                <c:pt idx="3">
                  <c:v>0.43959999999999999</c:v>
                </c:pt>
                <c:pt idx="4">
                  <c:v>0.4698</c:v>
                </c:pt>
                <c:pt idx="5">
                  <c:v>0.48980000000000001</c:v>
                </c:pt>
                <c:pt idx="6">
                  <c:v>0.49969999999999998</c:v>
                </c:pt>
                <c:pt idx="7">
                  <c:v>0.50839999999999996</c:v>
                </c:pt>
                <c:pt idx="8">
                  <c:v>0.51449999999999996</c:v>
                </c:pt>
                <c:pt idx="9">
                  <c:v>0.51900000000000002</c:v>
                </c:pt>
                <c:pt idx="10">
                  <c:v>0.52229999999999999</c:v>
                </c:pt>
                <c:pt idx="11">
                  <c:v>0.52490000000000003</c:v>
                </c:pt>
                <c:pt idx="12">
                  <c:v>0.52690000000000003</c:v>
                </c:pt>
                <c:pt idx="13">
                  <c:v>0.52849999999999997</c:v>
                </c:pt>
                <c:pt idx="14">
                  <c:v>0.52980000000000005</c:v>
                </c:pt>
                <c:pt idx="15">
                  <c:v>0.53090000000000004</c:v>
                </c:pt>
                <c:pt idx="16">
                  <c:v>0.53180000000000005</c:v>
                </c:pt>
                <c:pt idx="17">
                  <c:v>0.53249999999999997</c:v>
                </c:pt>
                <c:pt idx="18">
                  <c:v>0.53310000000000002</c:v>
                </c:pt>
                <c:pt idx="19">
                  <c:v>0.53369999999999995</c:v>
                </c:pt>
                <c:pt idx="20">
                  <c:v>0.53410000000000002</c:v>
                </c:pt>
                <c:pt idx="21">
                  <c:v>0.53449999999999998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C6-459F-95DA-4265021B4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95487"/>
        <c:axId val="14290017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'CB'!$B$1</c15:sqref>
                        </c15:formulaRef>
                      </c:ext>
                    </c:extLst>
                    <c:strCache>
                      <c:ptCount val="1"/>
                      <c:pt idx="0">
                        <c:v>fH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'CB'!$A$2:$A$23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1.0000000000000001E-5</c:v>
                      </c:pt>
                      <c:pt idx="1">
                        <c:v>2.0000000000000002E-5</c:v>
                      </c:pt>
                      <c:pt idx="2">
                        <c:v>3.0000000000000001E-5</c:v>
                      </c:pt>
                      <c:pt idx="3">
                        <c:v>4.0000000000000003E-5</c:v>
                      </c:pt>
                      <c:pt idx="4">
                        <c:v>5.0000000000000002E-5</c:v>
                      </c:pt>
                      <c:pt idx="5">
                        <c:v>6.0000000000000002E-5</c:v>
                      </c:pt>
                      <c:pt idx="6">
                        <c:v>6.9999999999999994E-5</c:v>
                      </c:pt>
                      <c:pt idx="7">
                        <c:v>8.0000000000000007E-5</c:v>
                      </c:pt>
                      <c:pt idx="8">
                        <c:v>9.0000000000000006E-5</c:v>
                      </c:pt>
                      <c:pt idx="9">
                        <c:v>1E-4</c:v>
                      </c:pt>
                      <c:pt idx="10">
                        <c:v>1.1E-4</c:v>
                      </c:pt>
                      <c:pt idx="11">
                        <c:v>1.2E-4</c:v>
                      </c:pt>
                      <c:pt idx="12">
                        <c:v>1.2999999999999999E-4</c:v>
                      </c:pt>
                      <c:pt idx="13">
                        <c:v>1.3999999999999999E-4</c:v>
                      </c:pt>
                      <c:pt idx="14">
                        <c:v>1.4999999999999999E-4</c:v>
                      </c:pt>
                      <c:pt idx="15">
                        <c:v>1.6000000000000001E-4</c:v>
                      </c:pt>
                      <c:pt idx="16">
                        <c:v>1.7000000000000001E-4</c:v>
                      </c:pt>
                      <c:pt idx="17">
                        <c:v>1.8000000000000001E-4</c:v>
                      </c:pt>
                      <c:pt idx="18">
                        <c:v>1.9000000000000001E-4</c:v>
                      </c:pt>
                      <c:pt idx="19">
                        <c:v>2.0000000000000001E-4</c:v>
                      </c:pt>
                      <c:pt idx="20">
                        <c:v>2.1000000000000001E-4</c:v>
                      </c:pt>
                      <c:pt idx="21">
                        <c:v>2.2000000000000001E-4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'CB'!$B$2:$B$23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417508.1</c:v>
                      </c:pt>
                      <c:pt idx="1">
                        <c:v>417419.6</c:v>
                      </c:pt>
                      <c:pt idx="2">
                        <c:v>417404.5</c:v>
                      </c:pt>
                      <c:pt idx="3">
                        <c:v>417400.2</c:v>
                      </c:pt>
                      <c:pt idx="4">
                        <c:v>417398.5</c:v>
                      </c:pt>
                      <c:pt idx="5">
                        <c:v>417397.8</c:v>
                      </c:pt>
                      <c:pt idx="6">
                        <c:v>417397.5</c:v>
                      </c:pt>
                      <c:pt idx="7">
                        <c:v>417397.4</c:v>
                      </c:pt>
                      <c:pt idx="8">
                        <c:v>417397.4</c:v>
                      </c:pt>
                      <c:pt idx="9">
                        <c:v>417397.5</c:v>
                      </c:pt>
                      <c:pt idx="10">
                        <c:v>417397.5</c:v>
                      </c:pt>
                      <c:pt idx="11">
                        <c:v>417397.6</c:v>
                      </c:pt>
                      <c:pt idx="12">
                        <c:v>417397.7</c:v>
                      </c:pt>
                      <c:pt idx="13">
                        <c:v>417397.7</c:v>
                      </c:pt>
                      <c:pt idx="14">
                        <c:v>417397.8</c:v>
                      </c:pt>
                      <c:pt idx="15">
                        <c:v>417397.8</c:v>
                      </c:pt>
                      <c:pt idx="16">
                        <c:v>417397.9</c:v>
                      </c:pt>
                      <c:pt idx="17">
                        <c:v>417398</c:v>
                      </c:pt>
                      <c:pt idx="18">
                        <c:v>417398</c:v>
                      </c:pt>
                      <c:pt idx="19">
                        <c:v>417398.1</c:v>
                      </c:pt>
                      <c:pt idx="20">
                        <c:v>417398.1</c:v>
                      </c:pt>
                      <c:pt idx="21">
                        <c:v>417398.2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2C6-459F-95DA-4265021B448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'CB'!$C$1</c15:sqref>
                        </c15:formulaRef>
                      </c:ext>
                    </c:extLst>
                    <c:strCache>
                      <c:ptCount val="1"/>
                      <c:pt idx="0">
                        <c:v>fL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'CB'!$A$2:$A$23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1.0000000000000001E-5</c:v>
                      </c:pt>
                      <c:pt idx="1">
                        <c:v>2.0000000000000002E-5</c:v>
                      </c:pt>
                      <c:pt idx="2">
                        <c:v>3.0000000000000001E-5</c:v>
                      </c:pt>
                      <c:pt idx="3">
                        <c:v>4.0000000000000003E-5</c:v>
                      </c:pt>
                      <c:pt idx="4">
                        <c:v>5.0000000000000002E-5</c:v>
                      </c:pt>
                      <c:pt idx="5">
                        <c:v>6.0000000000000002E-5</c:v>
                      </c:pt>
                      <c:pt idx="6">
                        <c:v>6.9999999999999994E-5</c:v>
                      </c:pt>
                      <c:pt idx="7">
                        <c:v>8.0000000000000007E-5</c:v>
                      </c:pt>
                      <c:pt idx="8">
                        <c:v>9.0000000000000006E-5</c:v>
                      </c:pt>
                      <c:pt idx="9">
                        <c:v>1E-4</c:v>
                      </c:pt>
                      <c:pt idx="10">
                        <c:v>1.1E-4</c:v>
                      </c:pt>
                      <c:pt idx="11">
                        <c:v>1.2E-4</c:v>
                      </c:pt>
                      <c:pt idx="12">
                        <c:v>1.2999999999999999E-4</c:v>
                      </c:pt>
                      <c:pt idx="13">
                        <c:v>1.3999999999999999E-4</c:v>
                      </c:pt>
                      <c:pt idx="14">
                        <c:v>1.4999999999999999E-4</c:v>
                      </c:pt>
                      <c:pt idx="15">
                        <c:v>1.6000000000000001E-4</c:v>
                      </c:pt>
                      <c:pt idx="16">
                        <c:v>1.7000000000000001E-4</c:v>
                      </c:pt>
                      <c:pt idx="17">
                        <c:v>1.8000000000000001E-4</c:v>
                      </c:pt>
                      <c:pt idx="18">
                        <c:v>1.9000000000000001E-4</c:v>
                      </c:pt>
                      <c:pt idx="19">
                        <c:v>2.0000000000000001E-4</c:v>
                      </c:pt>
                      <c:pt idx="20">
                        <c:v>2.1000000000000001E-4</c:v>
                      </c:pt>
                      <c:pt idx="21">
                        <c:v>2.2000000000000001E-4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'CB'!$C$2:$C$23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1984.721</c:v>
                      </c:pt>
                      <c:pt idx="1">
                        <c:v>992.89059999999995</c:v>
                      </c:pt>
                      <c:pt idx="2">
                        <c:v>667.46489999999994</c:v>
                      </c:pt>
                      <c:pt idx="3">
                        <c:v>496.74189999999999</c:v>
                      </c:pt>
                      <c:pt idx="4">
                        <c:v>396.93529999999998</c:v>
                      </c:pt>
                      <c:pt idx="5">
                        <c:v>333.7747</c:v>
                      </c:pt>
                      <c:pt idx="6">
                        <c:v>287.13799999999998</c:v>
                      </c:pt>
                      <c:pt idx="7">
                        <c:v>248.59790000000001</c:v>
                      </c:pt>
                      <c:pt idx="8">
                        <c:v>223.47929999999999</c:v>
                      </c:pt>
                      <c:pt idx="9">
                        <c:v>198.68379999999999</c:v>
                      </c:pt>
                      <c:pt idx="10">
                        <c:v>182.7698</c:v>
                      </c:pt>
                      <c:pt idx="11">
                        <c:v>167.02</c:v>
                      </c:pt>
                      <c:pt idx="12">
                        <c:v>153.70410000000001</c:v>
                      </c:pt>
                      <c:pt idx="13">
                        <c:v>143.7449</c:v>
                      </c:pt>
                      <c:pt idx="14">
                        <c:v>133.82390000000001</c:v>
                      </c:pt>
                      <c:pt idx="15">
                        <c:v>124.49250000000001</c:v>
                      </c:pt>
                      <c:pt idx="16">
                        <c:v>118.1549</c:v>
                      </c:pt>
                      <c:pt idx="17">
                        <c:v>111.914</c:v>
                      </c:pt>
                      <c:pt idx="18">
                        <c:v>105.65009999999999</c:v>
                      </c:pt>
                      <c:pt idx="19">
                        <c:v>99.52852</c:v>
                      </c:pt>
                      <c:pt idx="20">
                        <c:v>95.511390000000006</c:v>
                      </c:pt>
                      <c:pt idx="21">
                        <c:v>91.563929999999999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2C6-459F-95DA-4265021B448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'CB'!$D$1</c15:sqref>
                        </c15:formulaRef>
                      </c:ext>
                    </c:extLst>
                    <c:strCache>
                      <c:ptCount val="1"/>
                      <c:pt idx="0">
                        <c:v>CMRR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'CB'!$A$2:$A$23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1.0000000000000001E-5</c:v>
                      </c:pt>
                      <c:pt idx="1">
                        <c:v>2.0000000000000002E-5</c:v>
                      </c:pt>
                      <c:pt idx="2">
                        <c:v>3.0000000000000001E-5</c:v>
                      </c:pt>
                      <c:pt idx="3">
                        <c:v>4.0000000000000003E-5</c:v>
                      </c:pt>
                      <c:pt idx="4">
                        <c:v>5.0000000000000002E-5</c:v>
                      </c:pt>
                      <c:pt idx="5">
                        <c:v>6.0000000000000002E-5</c:v>
                      </c:pt>
                      <c:pt idx="6">
                        <c:v>6.9999999999999994E-5</c:v>
                      </c:pt>
                      <c:pt idx="7">
                        <c:v>8.0000000000000007E-5</c:v>
                      </c:pt>
                      <c:pt idx="8">
                        <c:v>9.0000000000000006E-5</c:v>
                      </c:pt>
                      <c:pt idx="9">
                        <c:v>1E-4</c:v>
                      </c:pt>
                      <c:pt idx="10">
                        <c:v>1.1E-4</c:v>
                      </c:pt>
                      <c:pt idx="11">
                        <c:v>1.2E-4</c:v>
                      </c:pt>
                      <c:pt idx="12">
                        <c:v>1.2999999999999999E-4</c:v>
                      </c:pt>
                      <c:pt idx="13">
                        <c:v>1.3999999999999999E-4</c:v>
                      </c:pt>
                      <c:pt idx="14">
                        <c:v>1.4999999999999999E-4</c:v>
                      </c:pt>
                      <c:pt idx="15">
                        <c:v>1.6000000000000001E-4</c:v>
                      </c:pt>
                      <c:pt idx="16">
                        <c:v>1.7000000000000001E-4</c:v>
                      </c:pt>
                      <c:pt idx="17">
                        <c:v>1.8000000000000001E-4</c:v>
                      </c:pt>
                      <c:pt idx="18">
                        <c:v>1.9000000000000001E-4</c:v>
                      </c:pt>
                      <c:pt idx="19">
                        <c:v>2.0000000000000001E-4</c:v>
                      </c:pt>
                      <c:pt idx="20">
                        <c:v>2.1000000000000001E-4</c:v>
                      </c:pt>
                      <c:pt idx="21">
                        <c:v>2.2000000000000001E-4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'CB'!$D$2:$D$23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62.481570391699996</c:v>
                      </c:pt>
                      <c:pt idx="1">
                        <c:v>62.481570390500003</c:v>
                      </c:pt>
                      <c:pt idx="2">
                        <c:v>62.481570388599998</c:v>
                      </c:pt>
                      <c:pt idx="3">
                        <c:v>62.4815703863</c:v>
                      </c:pt>
                      <c:pt idx="4">
                        <c:v>62.481570383499999</c:v>
                      </c:pt>
                      <c:pt idx="5">
                        <c:v>62.481570380400001</c:v>
                      </c:pt>
                      <c:pt idx="6">
                        <c:v>62.481570376800001</c:v>
                      </c:pt>
                      <c:pt idx="7">
                        <c:v>62.481570372999997</c:v>
                      </c:pt>
                      <c:pt idx="8">
                        <c:v>62.481570368900002</c:v>
                      </c:pt>
                      <c:pt idx="9">
                        <c:v>62.481570364699998</c:v>
                      </c:pt>
                      <c:pt idx="10">
                        <c:v>62.481570360500001</c:v>
                      </c:pt>
                      <c:pt idx="11">
                        <c:v>62.481570356299997</c:v>
                      </c:pt>
                      <c:pt idx="12">
                        <c:v>62.4815703521</c:v>
                      </c:pt>
                      <c:pt idx="13">
                        <c:v>62.481570347999998</c:v>
                      </c:pt>
                      <c:pt idx="14">
                        <c:v>62.481570343999998</c:v>
                      </c:pt>
                      <c:pt idx="15">
                        <c:v>62.481570340099999</c:v>
                      </c:pt>
                      <c:pt idx="16">
                        <c:v>62.481570336399997</c:v>
                      </c:pt>
                      <c:pt idx="17">
                        <c:v>62.481570332799997</c:v>
                      </c:pt>
                      <c:pt idx="18">
                        <c:v>62.4815703294</c:v>
                      </c:pt>
                      <c:pt idx="19">
                        <c:v>62.4815703262</c:v>
                      </c:pt>
                      <c:pt idx="20">
                        <c:v>62.481570323100001</c:v>
                      </c:pt>
                      <c:pt idx="21">
                        <c:v>62.481570320199999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C6-459F-95DA-4265021B448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'CB'!$E$1</c15:sqref>
                        </c15:formulaRef>
                      </c:ext>
                    </c:extLst>
                    <c:strCache>
                      <c:ptCount val="1"/>
                      <c:pt idx="0">
                        <c:v>PSRR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'CB'!$A$2:$A$23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1.0000000000000001E-5</c:v>
                      </c:pt>
                      <c:pt idx="1">
                        <c:v>2.0000000000000002E-5</c:v>
                      </c:pt>
                      <c:pt idx="2">
                        <c:v>3.0000000000000001E-5</c:v>
                      </c:pt>
                      <c:pt idx="3">
                        <c:v>4.0000000000000003E-5</c:v>
                      </c:pt>
                      <c:pt idx="4">
                        <c:v>5.0000000000000002E-5</c:v>
                      </c:pt>
                      <c:pt idx="5">
                        <c:v>6.0000000000000002E-5</c:v>
                      </c:pt>
                      <c:pt idx="6">
                        <c:v>6.9999999999999994E-5</c:v>
                      </c:pt>
                      <c:pt idx="7">
                        <c:v>8.0000000000000007E-5</c:v>
                      </c:pt>
                      <c:pt idx="8">
                        <c:v>9.0000000000000006E-5</c:v>
                      </c:pt>
                      <c:pt idx="9">
                        <c:v>1E-4</c:v>
                      </c:pt>
                      <c:pt idx="10">
                        <c:v>1.1E-4</c:v>
                      </c:pt>
                      <c:pt idx="11">
                        <c:v>1.2E-4</c:v>
                      </c:pt>
                      <c:pt idx="12">
                        <c:v>1.2999999999999999E-4</c:v>
                      </c:pt>
                      <c:pt idx="13">
                        <c:v>1.3999999999999999E-4</c:v>
                      </c:pt>
                      <c:pt idx="14">
                        <c:v>1.4999999999999999E-4</c:v>
                      </c:pt>
                      <c:pt idx="15">
                        <c:v>1.6000000000000001E-4</c:v>
                      </c:pt>
                      <c:pt idx="16">
                        <c:v>1.7000000000000001E-4</c:v>
                      </c:pt>
                      <c:pt idx="17">
                        <c:v>1.8000000000000001E-4</c:v>
                      </c:pt>
                      <c:pt idx="18">
                        <c:v>1.9000000000000001E-4</c:v>
                      </c:pt>
                      <c:pt idx="19">
                        <c:v>2.0000000000000001E-4</c:v>
                      </c:pt>
                      <c:pt idx="20">
                        <c:v>2.1000000000000001E-4</c:v>
                      </c:pt>
                      <c:pt idx="21">
                        <c:v>2.2000000000000001E-4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'CB'!$E$2:$E$23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65.45</c:v>
                      </c:pt>
                      <c:pt idx="1">
                        <c:v>65.45</c:v>
                      </c:pt>
                      <c:pt idx="2">
                        <c:v>65.45</c:v>
                      </c:pt>
                      <c:pt idx="3">
                        <c:v>65.45</c:v>
                      </c:pt>
                      <c:pt idx="4">
                        <c:v>65.45</c:v>
                      </c:pt>
                      <c:pt idx="5">
                        <c:v>65.45</c:v>
                      </c:pt>
                      <c:pt idx="6">
                        <c:v>65.45</c:v>
                      </c:pt>
                      <c:pt idx="7">
                        <c:v>65.45</c:v>
                      </c:pt>
                      <c:pt idx="8">
                        <c:v>65.45</c:v>
                      </c:pt>
                      <c:pt idx="9">
                        <c:v>65.45</c:v>
                      </c:pt>
                      <c:pt idx="10">
                        <c:v>65.45</c:v>
                      </c:pt>
                      <c:pt idx="11">
                        <c:v>65.45</c:v>
                      </c:pt>
                      <c:pt idx="12">
                        <c:v>65.45</c:v>
                      </c:pt>
                      <c:pt idx="13">
                        <c:v>65.45</c:v>
                      </c:pt>
                      <c:pt idx="14">
                        <c:v>65.45</c:v>
                      </c:pt>
                      <c:pt idx="15">
                        <c:v>65.45</c:v>
                      </c:pt>
                      <c:pt idx="16">
                        <c:v>65.45</c:v>
                      </c:pt>
                      <c:pt idx="17">
                        <c:v>65.45</c:v>
                      </c:pt>
                      <c:pt idx="18">
                        <c:v>65.45</c:v>
                      </c:pt>
                      <c:pt idx="19">
                        <c:v>65.45</c:v>
                      </c:pt>
                      <c:pt idx="20">
                        <c:v>65.45</c:v>
                      </c:pt>
                      <c:pt idx="21">
                        <c:v>65.45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2C6-459F-95DA-4265021B448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'CB'!$F$1</c15:sqref>
                        </c15:formulaRef>
                      </c:ext>
                    </c:extLst>
                    <c:strCache>
                      <c:ptCount val="1"/>
                      <c:pt idx="0">
                        <c:v>IRN (V/Hz1/2)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'CB'!$A$2:$A$23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1.0000000000000001E-5</c:v>
                      </c:pt>
                      <c:pt idx="1">
                        <c:v>2.0000000000000002E-5</c:v>
                      </c:pt>
                      <c:pt idx="2">
                        <c:v>3.0000000000000001E-5</c:v>
                      </c:pt>
                      <c:pt idx="3">
                        <c:v>4.0000000000000003E-5</c:v>
                      </c:pt>
                      <c:pt idx="4">
                        <c:v>5.0000000000000002E-5</c:v>
                      </c:pt>
                      <c:pt idx="5">
                        <c:v>6.0000000000000002E-5</c:v>
                      </c:pt>
                      <c:pt idx="6">
                        <c:v>6.9999999999999994E-5</c:v>
                      </c:pt>
                      <c:pt idx="7">
                        <c:v>8.0000000000000007E-5</c:v>
                      </c:pt>
                      <c:pt idx="8">
                        <c:v>9.0000000000000006E-5</c:v>
                      </c:pt>
                      <c:pt idx="9">
                        <c:v>1E-4</c:v>
                      </c:pt>
                      <c:pt idx="10">
                        <c:v>1.1E-4</c:v>
                      </c:pt>
                      <c:pt idx="11">
                        <c:v>1.2E-4</c:v>
                      </c:pt>
                      <c:pt idx="12">
                        <c:v>1.2999999999999999E-4</c:v>
                      </c:pt>
                      <c:pt idx="13">
                        <c:v>1.3999999999999999E-4</c:v>
                      </c:pt>
                      <c:pt idx="14">
                        <c:v>1.4999999999999999E-4</c:v>
                      </c:pt>
                      <c:pt idx="15">
                        <c:v>1.6000000000000001E-4</c:v>
                      </c:pt>
                      <c:pt idx="16">
                        <c:v>1.7000000000000001E-4</c:v>
                      </c:pt>
                      <c:pt idx="17">
                        <c:v>1.8000000000000001E-4</c:v>
                      </c:pt>
                      <c:pt idx="18">
                        <c:v>1.9000000000000001E-4</c:v>
                      </c:pt>
                      <c:pt idx="19">
                        <c:v>2.0000000000000001E-4</c:v>
                      </c:pt>
                      <c:pt idx="20">
                        <c:v>2.1000000000000001E-4</c:v>
                      </c:pt>
                      <c:pt idx="21">
                        <c:v>2.2000000000000001E-4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'CB'!$F$2:$F$23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2.991232E-8</c:v>
                      </c:pt>
                      <c:pt idx="1">
                        <c:v>2.9910670000000003E-8</c:v>
                      </c:pt>
                      <c:pt idx="2">
                        <c:v>2.991064E-8</c:v>
                      </c:pt>
                      <c:pt idx="3">
                        <c:v>2.991064E-8</c:v>
                      </c:pt>
                      <c:pt idx="4">
                        <c:v>2.991064E-8</c:v>
                      </c:pt>
                      <c:pt idx="5">
                        <c:v>2.991064E-8</c:v>
                      </c:pt>
                      <c:pt idx="6">
                        <c:v>2.991064E-8</c:v>
                      </c:pt>
                      <c:pt idx="7">
                        <c:v>2.9910629999999997E-8</c:v>
                      </c:pt>
                      <c:pt idx="8">
                        <c:v>2.9910629999999997E-8</c:v>
                      </c:pt>
                      <c:pt idx="9">
                        <c:v>2.9910629999999997E-8</c:v>
                      </c:pt>
                      <c:pt idx="10">
                        <c:v>2.9910629999999997E-8</c:v>
                      </c:pt>
                      <c:pt idx="11">
                        <c:v>2.9910629999999997E-8</c:v>
                      </c:pt>
                      <c:pt idx="12">
                        <c:v>2.9910629999999997E-8</c:v>
                      </c:pt>
                      <c:pt idx="13">
                        <c:v>2.9910629999999997E-8</c:v>
                      </c:pt>
                      <c:pt idx="14">
                        <c:v>2.9910629999999997E-8</c:v>
                      </c:pt>
                      <c:pt idx="15">
                        <c:v>2.9910629999999997E-8</c:v>
                      </c:pt>
                      <c:pt idx="16">
                        <c:v>2.9910629999999997E-8</c:v>
                      </c:pt>
                      <c:pt idx="17">
                        <c:v>2.9910629999999997E-8</c:v>
                      </c:pt>
                      <c:pt idx="18">
                        <c:v>2.9910629999999997E-8</c:v>
                      </c:pt>
                      <c:pt idx="19">
                        <c:v>2.9910629999999997E-8</c:v>
                      </c:pt>
                      <c:pt idx="20">
                        <c:v>2.9910629999999997E-8</c:v>
                      </c:pt>
                      <c:pt idx="21">
                        <c:v>2.9910629999999997E-8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2C6-459F-95DA-4265021B4483}"/>
                  </c:ext>
                </c:extLst>
              </c15:ser>
            </c15:filteredScatterSeries>
          </c:ext>
        </c:extLst>
      </c:scatterChart>
      <c:valAx>
        <c:axId val="142899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001727"/>
        <c:crosses val="autoZero"/>
        <c:crossBetween val="midCat"/>
      </c:valAx>
      <c:valAx>
        <c:axId val="142900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995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Vs!$B$1</c:f>
              <c:strCache>
                <c:ptCount val="1"/>
                <c:pt idx="0">
                  <c:v>fH (Hz)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Vs!$A$2:$A$8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Vs!$B$2:$B$8</c:f>
              <c:numCache>
                <c:formatCode>0</c:formatCode>
                <c:ptCount val="7"/>
                <c:pt idx="0">
                  <c:v>355482.5</c:v>
                </c:pt>
                <c:pt idx="1">
                  <c:v>379345.8</c:v>
                </c:pt>
                <c:pt idx="2">
                  <c:v>401017.7</c:v>
                </c:pt>
                <c:pt idx="3">
                  <c:v>417397.2</c:v>
                </c:pt>
                <c:pt idx="4">
                  <c:v>431139.9</c:v>
                </c:pt>
                <c:pt idx="5">
                  <c:v>443040</c:v>
                </c:pt>
                <c:pt idx="6">
                  <c:v>453623.6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1F-47DC-B8E8-F6EB647BA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014335"/>
        <c:axId val="86901481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Vs!$C$1</c15:sqref>
                        </c15:formulaRef>
                      </c:ext>
                    </c:extLst>
                    <c:strCache>
                      <c:ptCount val="1"/>
                      <c:pt idx="0">
                        <c:v>fL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Vs!$C$2:$C$8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197.672</c:v>
                      </c:pt>
                      <c:pt idx="1">
                        <c:v>197.94730000000001</c:v>
                      </c:pt>
                      <c:pt idx="2">
                        <c:v>198.23699999999999</c:v>
                      </c:pt>
                      <c:pt idx="3">
                        <c:v>198.4571</c:v>
                      </c:pt>
                      <c:pt idx="4">
                        <c:v>198.63319999999999</c:v>
                      </c:pt>
                      <c:pt idx="5">
                        <c:v>198.77090000000001</c:v>
                      </c:pt>
                      <c:pt idx="6">
                        <c:v>198.85489999999999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051F-47DC-B8E8-F6EB647BA65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Vs!$D$1</c15:sqref>
                        </c15:formulaRef>
                      </c:ext>
                    </c:extLst>
                    <c:strCache>
                      <c:ptCount val="1"/>
                      <c:pt idx="0">
                        <c:v>CMRR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Vs!$D$2:$D$8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51.839246509699997</c:v>
                      </c:pt>
                      <c:pt idx="1">
                        <c:v>55.3129078455</c:v>
                      </c:pt>
                      <c:pt idx="2">
                        <c:v>58.144194378599998</c:v>
                      </c:pt>
                      <c:pt idx="3">
                        <c:v>60.394143084600003</c:v>
                      </c:pt>
                      <c:pt idx="4">
                        <c:v>61.295480077999997</c:v>
                      </c:pt>
                      <c:pt idx="5">
                        <c:v>61.970812631500003</c:v>
                      </c:pt>
                      <c:pt idx="6">
                        <c:v>62.481570320199999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51F-47DC-B8E8-F6EB647BA65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Vs!$E$1</c15:sqref>
                        </c15:formulaRef>
                      </c:ext>
                    </c:extLst>
                    <c:strCache>
                      <c:ptCount val="1"/>
                      <c:pt idx="0">
                        <c:v>PSRR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Vs!$E$2:$E$8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65.460706807099996</c:v>
                      </c:pt>
                      <c:pt idx="1">
                        <c:v>65.451011193400007</c:v>
                      </c:pt>
                      <c:pt idx="2">
                        <c:v>65.447410008399999</c:v>
                      </c:pt>
                      <c:pt idx="3">
                        <c:v>65.446745866000001</c:v>
                      </c:pt>
                      <c:pt idx="4">
                        <c:v>65.447564095800004</c:v>
                      </c:pt>
                      <c:pt idx="5">
                        <c:v>65.449144400500003</c:v>
                      </c:pt>
                      <c:pt idx="6">
                        <c:v>65.451110657200005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51F-47DC-B8E8-F6EB647BA65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Vs!$F$1</c15:sqref>
                        </c15:formulaRef>
                      </c:ext>
                    </c:extLst>
                    <c:strCache>
                      <c:ptCount val="1"/>
                      <c:pt idx="0">
                        <c:v>IRN (V/Hz1/2)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Vs!$F$2:$F$8</c15:sqref>
                        </c15:formulaRef>
                      </c:ext>
                    </c:extLst>
                    <c:numCache>
                      <c:formatCode>0.00E+00</c:formatCode>
                      <c:ptCount val="7"/>
                      <c:pt idx="0">
                        <c:v>3.5443299999999998E-8</c:v>
                      </c:pt>
                      <c:pt idx="1">
                        <c:v>3.3076370000000003E-8</c:v>
                      </c:pt>
                      <c:pt idx="2">
                        <c:v>3.1290990000000002E-8</c:v>
                      </c:pt>
                      <c:pt idx="3">
                        <c:v>2.9910629999999997E-8</c:v>
                      </c:pt>
                      <c:pt idx="4">
                        <c:v>2.8824929999999999E-8</c:v>
                      </c:pt>
                      <c:pt idx="5">
                        <c:v>2.7960980000000002E-8</c:v>
                      </c:pt>
                      <c:pt idx="6">
                        <c:v>2.7268470000000001E-8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1F-47DC-B8E8-F6EB647BA65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Vs!$G$1</c15:sqref>
                        </c15:formulaRef>
                      </c:ext>
                    </c:extLst>
                    <c:strCache>
                      <c:ptCount val="1"/>
                      <c:pt idx="0">
                        <c:v>MOP @ 1kHz and 1% THD (W)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Vs!$G$2:$G$8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0.12540000000000001</c:v>
                      </c:pt>
                      <c:pt idx="1">
                        <c:v>0.2268</c:v>
                      </c:pt>
                      <c:pt idx="2">
                        <c:v>0.35809999999999997</c:v>
                      </c:pt>
                      <c:pt idx="3">
                        <c:v>0.51900000000000002</c:v>
                      </c:pt>
                      <c:pt idx="4">
                        <c:v>0.70909999999999995</c:v>
                      </c:pt>
                      <c:pt idx="5">
                        <c:v>0.92749999999999999</c:v>
                      </c:pt>
                      <c:pt idx="6">
                        <c:v>1.1640999999999999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ED1-4DDC-852C-BF0EA0FAF234}"/>
                  </c:ext>
                </c:extLst>
              </c15:ser>
            </c15:filteredScatterSeries>
          </c:ext>
        </c:extLst>
      </c:scatterChart>
      <c:valAx>
        <c:axId val="86901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4815"/>
        <c:crosses val="autoZero"/>
        <c:crossBetween val="midCat"/>
      </c:valAx>
      <c:valAx>
        <c:axId val="86901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4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2"/>
          <c:tx>
            <c:strRef>
              <c:f>Vs!$D$1</c:f>
              <c:strCache>
                <c:ptCount val="1"/>
                <c:pt idx="0">
                  <c:v>CMRR (dB)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Vs!$A$2:$A$8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Vs!$D$2:$D$8</c:f>
              <c:numCache>
                <c:formatCode>0.00</c:formatCode>
                <c:ptCount val="7"/>
                <c:pt idx="0">
                  <c:v>51.839246509699997</c:v>
                </c:pt>
                <c:pt idx="1">
                  <c:v>55.3129078455</c:v>
                </c:pt>
                <c:pt idx="2">
                  <c:v>58.144194378599998</c:v>
                </c:pt>
                <c:pt idx="3">
                  <c:v>60.394143084600003</c:v>
                </c:pt>
                <c:pt idx="4">
                  <c:v>61.295480077999997</c:v>
                </c:pt>
                <c:pt idx="5">
                  <c:v>61.970812631500003</c:v>
                </c:pt>
                <c:pt idx="6">
                  <c:v>62.481570320199999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02-41EF-B177-9D8BF1DBD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011455"/>
        <c:axId val="8690124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Vs!$B$1</c15:sqref>
                        </c15:formulaRef>
                      </c:ext>
                    </c:extLst>
                    <c:strCache>
                      <c:ptCount val="1"/>
                      <c:pt idx="0">
                        <c:v>fH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Vs!$B$2:$B$8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355482.5</c:v>
                      </c:pt>
                      <c:pt idx="1">
                        <c:v>379345.8</c:v>
                      </c:pt>
                      <c:pt idx="2">
                        <c:v>401017.7</c:v>
                      </c:pt>
                      <c:pt idx="3">
                        <c:v>417397.2</c:v>
                      </c:pt>
                      <c:pt idx="4">
                        <c:v>431139.9</c:v>
                      </c:pt>
                      <c:pt idx="5">
                        <c:v>443040</c:v>
                      </c:pt>
                      <c:pt idx="6">
                        <c:v>453623.6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D02-41EF-B177-9D8BF1DBD23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Vs!$C$1</c15:sqref>
                        </c15:formulaRef>
                      </c:ext>
                    </c:extLst>
                    <c:strCache>
                      <c:ptCount val="1"/>
                      <c:pt idx="0">
                        <c:v>fL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Vs!$C$2:$C$8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197.672</c:v>
                      </c:pt>
                      <c:pt idx="1">
                        <c:v>197.94730000000001</c:v>
                      </c:pt>
                      <c:pt idx="2">
                        <c:v>198.23699999999999</c:v>
                      </c:pt>
                      <c:pt idx="3">
                        <c:v>198.4571</c:v>
                      </c:pt>
                      <c:pt idx="4">
                        <c:v>198.63319999999999</c:v>
                      </c:pt>
                      <c:pt idx="5">
                        <c:v>198.77090000000001</c:v>
                      </c:pt>
                      <c:pt idx="6">
                        <c:v>198.85489999999999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D02-41EF-B177-9D8BF1DBD23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Vs!$E$1</c15:sqref>
                        </c15:formulaRef>
                      </c:ext>
                    </c:extLst>
                    <c:strCache>
                      <c:ptCount val="1"/>
                      <c:pt idx="0">
                        <c:v>PSRR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Vs!$E$2:$E$8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65.460706807099996</c:v>
                      </c:pt>
                      <c:pt idx="1">
                        <c:v>65.451011193400007</c:v>
                      </c:pt>
                      <c:pt idx="2">
                        <c:v>65.447410008399999</c:v>
                      </c:pt>
                      <c:pt idx="3">
                        <c:v>65.446745866000001</c:v>
                      </c:pt>
                      <c:pt idx="4">
                        <c:v>65.447564095800004</c:v>
                      </c:pt>
                      <c:pt idx="5">
                        <c:v>65.449144400500003</c:v>
                      </c:pt>
                      <c:pt idx="6">
                        <c:v>65.451110657200005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D02-41EF-B177-9D8BF1DBD23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Vs!$F$1</c15:sqref>
                        </c15:formulaRef>
                      </c:ext>
                    </c:extLst>
                    <c:strCache>
                      <c:ptCount val="1"/>
                      <c:pt idx="0">
                        <c:v>IRN (V/Hz1/2)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Vs!$F$2:$F$8</c15:sqref>
                        </c15:formulaRef>
                      </c:ext>
                    </c:extLst>
                    <c:numCache>
                      <c:formatCode>0.00E+00</c:formatCode>
                      <c:ptCount val="7"/>
                      <c:pt idx="0">
                        <c:v>3.5443299999999998E-8</c:v>
                      </c:pt>
                      <c:pt idx="1">
                        <c:v>3.3076370000000003E-8</c:v>
                      </c:pt>
                      <c:pt idx="2">
                        <c:v>3.1290990000000002E-8</c:v>
                      </c:pt>
                      <c:pt idx="3">
                        <c:v>2.9910629999999997E-8</c:v>
                      </c:pt>
                      <c:pt idx="4">
                        <c:v>2.8824929999999999E-8</c:v>
                      </c:pt>
                      <c:pt idx="5">
                        <c:v>2.7960980000000002E-8</c:v>
                      </c:pt>
                      <c:pt idx="6">
                        <c:v>2.7268470000000001E-8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D02-41EF-B177-9D8BF1DBD23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Vs!$G$1</c15:sqref>
                        </c15:formulaRef>
                      </c:ext>
                    </c:extLst>
                    <c:strCache>
                      <c:ptCount val="1"/>
                      <c:pt idx="0">
                        <c:v>MOP @ 1kHz and 1% THD (W)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Vs!$G$2:$G$8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0.12540000000000001</c:v>
                      </c:pt>
                      <c:pt idx="1">
                        <c:v>0.2268</c:v>
                      </c:pt>
                      <c:pt idx="2">
                        <c:v>0.35809999999999997</c:v>
                      </c:pt>
                      <c:pt idx="3">
                        <c:v>0.51900000000000002</c:v>
                      </c:pt>
                      <c:pt idx="4">
                        <c:v>0.70909999999999995</c:v>
                      </c:pt>
                      <c:pt idx="5">
                        <c:v>0.92749999999999999</c:v>
                      </c:pt>
                      <c:pt idx="6">
                        <c:v>1.1640999999999999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D8C-4F4F-A290-AE1B4CB8AD96}"/>
                  </c:ext>
                </c:extLst>
              </c15:ser>
            </c15:filteredScatterSeries>
          </c:ext>
        </c:extLst>
      </c:scatterChart>
      <c:valAx>
        <c:axId val="86901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2415"/>
        <c:crosses val="autoZero"/>
        <c:crossBetween val="midCat"/>
      </c:valAx>
      <c:valAx>
        <c:axId val="86901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4"/>
          <c:order val="4"/>
          <c:tx>
            <c:strRef>
              <c:f>Vs!$F$1</c:f>
              <c:strCache>
                <c:ptCount val="1"/>
                <c:pt idx="0">
                  <c:v>IRN (V/Hz1/2)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Vs!$A$2:$A$8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Vs!$F$2:$F$8</c:f>
              <c:numCache>
                <c:formatCode>0.00E+00</c:formatCode>
                <c:ptCount val="7"/>
                <c:pt idx="0">
                  <c:v>3.5443299999999998E-8</c:v>
                </c:pt>
                <c:pt idx="1">
                  <c:v>3.3076370000000003E-8</c:v>
                </c:pt>
                <c:pt idx="2">
                  <c:v>3.1290990000000002E-8</c:v>
                </c:pt>
                <c:pt idx="3">
                  <c:v>2.9910629999999997E-8</c:v>
                </c:pt>
                <c:pt idx="4">
                  <c:v>2.8824929999999999E-8</c:v>
                </c:pt>
                <c:pt idx="5">
                  <c:v>2.7960980000000002E-8</c:v>
                </c:pt>
                <c:pt idx="6">
                  <c:v>2.7268470000000001E-8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BAE-4834-8176-43911A8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039295"/>
        <c:axId val="86903977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Vs!$B$1</c15:sqref>
                        </c15:formulaRef>
                      </c:ext>
                    </c:extLst>
                    <c:strCache>
                      <c:ptCount val="1"/>
                      <c:pt idx="0">
                        <c:v>fH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Vs!$B$2:$B$8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355482.5</c:v>
                      </c:pt>
                      <c:pt idx="1">
                        <c:v>379345.8</c:v>
                      </c:pt>
                      <c:pt idx="2">
                        <c:v>401017.7</c:v>
                      </c:pt>
                      <c:pt idx="3">
                        <c:v>417397.2</c:v>
                      </c:pt>
                      <c:pt idx="4">
                        <c:v>431139.9</c:v>
                      </c:pt>
                      <c:pt idx="5">
                        <c:v>443040</c:v>
                      </c:pt>
                      <c:pt idx="6">
                        <c:v>453623.6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BAE-4834-8176-43911A8D8A4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Vs!$C$1</c15:sqref>
                        </c15:formulaRef>
                      </c:ext>
                    </c:extLst>
                    <c:strCache>
                      <c:ptCount val="1"/>
                      <c:pt idx="0">
                        <c:v>fL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Vs!$C$2:$C$8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197.672</c:v>
                      </c:pt>
                      <c:pt idx="1">
                        <c:v>197.94730000000001</c:v>
                      </c:pt>
                      <c:pt idx="2">
                        <c:v>198.23699999999999</c:v>
                      </c:pt>
                      <c:pt idx="3">
                        <c:v>198.4571</c:v>
                      </c:pt>
                      <c:pt idx="4">
                        <c:v>198.63319999999999</c:v>
                      </c:pt>
                      <c:pt idx="5">
                        <c:v>198.77090000000001</c:v>
                      </c:pt>
                      <c:pt idx="6">
                        <c:v>198.85489999999999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BAE-4834-8176-43911A8D8A4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Vs!$D$1</c15:sqref>
                        </c15:formulaRef>
                      </c:ext>
                    </c:extLst>
                    <c:strCache>
                      <c:ptCount val="1"/>
                      <c:pt idx="0">
                        <c:v>CMRR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Vs!$D$2:$D$8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51.839246509699997</c:v>
                      </c:pt>
                      <c:pt idx="1">
                        <c:v>55.3129078455</c:v>
                      </c:pt>
                      <c:pt idx="2">
                        <c:v>58.144194378599998</c:v>
                      </c:pt>
                      <c:pt idx="3">
                        <c:v>60.394143084600003</c:v>
                      </c:pt>
                      <c:pt idx="4">
                        <c:v>61.295480077999997</c:v>
                      </c:pt>
                      <c:pt idx="5">
                        <c:v>61.970812631500003</c:v>
                      </c:pt>
                      <c:pt idx="6">
                        <c:v>62.481570320199999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AE-4834-8176-43911A8D8A4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Vs!$E$1</c15:sqref>
                        </c15:formulaRef>
                      </c:ext>
                    </c:extLst>
                    <c:strCache>
                      <c:ptCount val="1"/>
                      <c:pt idx="0">
                        <c:v>PSRR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Vs!$E$2:$E$8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65.460706807099996</c:v>
                      </c:pt>
                      <c:pt idx="1">
                        <c:v>65.451011193400007</c:v>
                      </c:pt>
                      <c:pt idx="2">
                        <c:v>65.447410008399999</c:v>
                      </c:pt>
                      <c:pt idx="3">
                        <c:v>65.446745866000001</c:v>
                      </c:pt>
                      <c:pt idx="4">
                        <c:v>65.447564095800004</c:v>
                      </c:pt>
                      <c:pt idx="5">
                        <c:v>65.449144400500003</c:v>
                      </c:pt>
                      <c:pt idx="6">
                        <c:v>65.451110657200005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AE-4834-8176-43911A8D8A4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Vs!$G$1</c15:sqref>
                        </c15:formulaRef>
                      </c:ext>
                    </c:extLst>
                    <c:strCache>
                      <c:ptCount val="1"/>
                      <c:pt idx="0">
                        <c:v>MOP @ 1kHz and 1% THD (W)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Vs!$G$2:$G$8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0.12540000000000001</c:v>
                      </c:pt>
                      <c:pt idx="1">
                        <c:v>0.2268</c:v>
                      </c:pt>
                      <c:pt idx="2">
                        <c:v>0.35809999999999997</c:v>
                      </c:pt>
                      <c:pt idx="3">
                        <c:v>0.51900000000000002</c:v>
                      </c:pt>
                      <c:pt idx="4">
                        <c:v>0.70909999999999995</c:v>
                      </c:pt>
                      <c:pt idx="5">
                        <c:v>0.92749999999999999</c:v>
                      </c:pt>
                      <c:pt idx="6">
                        <c:v>1.1640999999999999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C2B-4D6E-998B-0402068CB30C}"/>
                  </c:ext>
                </c:extLst>
              </c15:ser>
            </c15:filteredScatterSeries>
          </c:ext>
        </c:extLst>
      </c:scatterChart>
      <c:valAx>
        <c:axId val="86903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39775"/>
        <c:crosses val="autoZero"/>
        <c:crossBetween val="midCat"/>
      </c:valAx>
      <c:valAx>
        <c:axId val="86903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39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5"/>
          <c:order val="5"/>
          <c:tx>
            <c:strRef>
              <c:f>Vs!$G$1</c:f>
              <c:strCache>
                <c:ptCount val="1"/>
                <c:pt idx="0">
                  <c:v>MOP @ 1kHz and 1% THD (W)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Vs!$A$2:$A$8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Vs!$G$2:$G$8</c:f>
              <c:numCache>
                <c:formatCode>General</c:formatCode>
                <c:ptCount val="7"/>
                <c:pt idx="0">
                  <c:v>0.12540000000000001</c:v>
                </c:pt>
                <c:pt idx="1">
                  <c:v>0.2268</c:v>
                </c:pt>
                <c:pt idx="2">
                  <c:v>0.35809999999999997</c:v>
                </c:pt>
                <c:pt idx="3">
                  <c:v>0.51900000000000002</c:v>
                </c:pt>
                <c:pt idx="4">
                  <c:v>0.70909999999999995</c:v>
                </c:pt>
                <c:pt idx="5">
                  <c:v>0.92749999999999999</c:v>
                </c:pt>
                <c:pt idx="6">
                  <c:v>1.1640999999999999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51-4A39-A930-9AA743B35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887487"/>
        <c:axId val="142888556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Vs!$B$1</c15:sqref>
                        </c15:formulaRef>
                      </c:ext>
                    </c:extLst>
                    <c:strCache>
                      <c:ptCount val="1"/>
                      <c:pt idx="0">
                        <c:v>fH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Vs!$B$2:$B$8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355482.5</c:v>
                      </c:pt>
                      <c:pt idx="1">
                        <c:v>379345.8</c:v>
                      </c:pt>
                      <c:pt idx="2">
                        <c:v>401017.7</c:v>
                      </c:pt>
                      <c:pt idx="3">
                        <c:v>417397.2</c:v>
                      </c:pt>
                      <c:pt idx="4">
                        <c:v>431139.9</c:v>
                      </c:pt>
                      <c:pt idx="5">
                        <c:v>443040</c:v>
                      </c:pt>
                      <c:pt idx="6">
                        <c:v>453623.6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951-4A39-A930-9AA743B356C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Vs!$C$1</c15:sqref>
                        </c15:formulaRef>
                      </c:ext>
                    </c:extLst>
                    <c:strCache>
                      <c:ptCount val="1"/>
                      <c:pt idx="0">
                        <c:v>fL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Vs!$C$2:$C$8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197.672</c:v>
                      </c:pt>
                      <c:pt idx="1">
                        <c:v>197.94730000000001</c:v>
                      </c:pt>
                      <c:pt idx="2">
                        <c:v>198.23699999999999</c:v>
                      </c:pt>
                      <c:pt idx="3">
                        <c:v>198.4571</c:v>
                      </c:pt>
                      <c:pt idx="4">
                        <c:v>198.63319999999999</c:v>
                      </c:pt>
                      <c:pt idx="5">
                        <c:v>198.77090000000001</c:v>
                      </c:pt>
                      <c:pt idx="6">
                        <c:v>198.85489999999999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951-4A39-A930-9AA743B356C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Vs!$D$1</c15:sqref>
                        </c15:formulaRef>
                      </c:ext>
                    </c:extLst>
                    <c:strCache>
                      <c:ptCount val="1"/>
                      <c:pt idx="0">
                        <c:v>CMRR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Vs!$D$2:$D$8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51.839246509699997</c:v>
                      </c:pt>
                      <c:pt idx="1">
                        <c:v>55.3129078455</c:v>
                      </c:pt>
                      <c:pt idx="2">
                        <c:v>58.144194378599998</c:v>
                      </c:pt>
                      <c:pt idx="3">
                        <c:v>60.394143084600003</c:v>
                      </c:pt>
                      <c:pt idx="4">
                        <c:v>61.295480077999997</c:v>
                      </c:pt>
                      <c:pt idx="5">
                        <c:v>61.970812631500003</c:v>
                      </c:pt>
                      <c:pt idx="6">
                        <c:v>62.481570320199999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951-4A39-A930-9AA743B356C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Vs!$E$1</c15:sqref>
                        </c15:formulaRef>
                      </c:ext>
                    </c:extLst>
                    <c:strCache>
                      <c:ptCount val="1"/>
                      <c:pt idx="0">
                        <c:v>PSRR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Vs!$E$2:$E$8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65.460706807099996</c:v>
                      </c:pt>
                      <c:pt idx="1">
                        <c:v>65.451011193400007</c:v>
                      </c:pt>
                      <c:pt idx="2">
                        <c:v>65.447410008399999</c:v>
                      </c:pt>
                      <c:pt idx="3">
                        <c:v>65.446745866000001</c:v>
                      </c:pt>
                      <c:pt idx="4">
                        <c:v>65.447564095800004</c:v>
                      </c:pt>
                      <c:pt idx="5">
                        <c:v>65.449144400500003</c:v>
                      </c:pt>
                      <c:pt idx="6">
                        <c:v>65.451110657200005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951-4A39-A930-9AA743B356C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Vs!$F$1</c15:sqref>
                        </c15:formulaRef>
                      </c:ext>
                    </c:extLst>
                    <c:strCache>
                      <c:ptCount val="1"/>
                      <c:pt idx="0">
                        <c:v>IRN (V/Hz1/2)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Vs!$F$2:$F$8</c15:sqref>
                        </c15:formulaRef>
                      </c:ext>
                    </c:extLst>
                    <c:numCache>
                      <c:formatCode>0.00E+00</c:formatCode>
                      <c:ptCount val="7"/>
                      <c:pt idx="0">
                        <c:v>3.5443299999999998E-8</c:v>
                      </c:pt>
                      <c:pt idx="1">
                        <c:v>3.3076370000000003E-8</c:v>
                      </c:pt>
                      <c:pt idx="2">
                        <c:v>3.1290990000000002E-8</c:v>
                      </c:pt>
                      <c:pt idx="3">
                        <c:v>2.9910629999999997E-8</c:v>
                      </c:pt>
                      <c:pt idx="4">
                        <c:v>2.8824929999999999E-8</c:v>
                      </c:pt>
                      <c:pt idx="5">
                        <c:v>2.7960980000000002E-8</c:v>
                      </c:pt>
                      <c:pt idx="6">
                        <c:v>2.7268470000000001E-8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951-4A39-A930-9AA743B356C5}"/>
                  </c:ext>
                </c:extLst>
              </c15:ser>
            </c15:filteredScatterSeries>
          </c:ext>
        </c:extLst>
      </c:scatterChart>
      <c:valAx>
        <c:axId val="142888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885567"/>
        <c:crosses val="autoZero"/>
        <c:crossBetween val="midCat"/>
      </c:valAx>
      <c:valAx>
        <c:axId val="142888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88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VsigDC!$B$1</c:f>
              <c:strCache>
                <c:ptCount val="1"/>
                <c:pt idx="0">
                  <c:v>fH (Hz)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VsigDC!$A$2:$A$22</c:f>
              <c:numCache>
                <c:formatCode>General</c:formatCode>
                <c:ptCount val="21"/>
                <c:pt idx="0">
                  <c:v>-0.2</c:v>
                </c:pt>
                <c:pt idx="1">
                  <c:v>-0.18</c:v>
                </c:pt>
                <c:pt idx="2">
                  <c:v>-0.16</c:v>
                </c:pt>
                <c:pt idx="3">
                  <c:v>-0.14000000000000001</c:v>
                </c:pt>
                <c:pt idx="4">
                  <c:v>-0.12</c:v>
                </c:pt>
                <c:pt idx="5">
                  <c:v>-0.1</c:v>
                </c:pt>
                <c:pt idx="6">
                  <c:v>-0.08</c:v>
                </c:pt>
                <c:pt idx="7">
                  <c:v>-0.06</c:v>
                </c:pt>
                <c:pt idx="8">
                  <c:v>-0.04</c:v>
                </c:pt>
                <c:pt idx="9">
                  <c:v>-0.02</c:v>
                </c:pt>
                <c:pt idx="10">
                  <c:v>0</c:v>
                </c:pt>
                <c:pt idx="11">
                  <c:v>0.02</c:v>
                </c:pt>
                <c:pt idx="12">
                  <c:v>0.04</c:v>
                </c:pt>
                <c:pt idx="13">
                  <c:v>0.06</c:v>
                </c:pt>
                <c:pt idx="14">
                  <c:v>0.08</c:v>
                </c:pt>
                <c:pt idx="15">
                  <c:v>0.1</c:v>
                </c:pt>
                <c:pt idx="16">
                  <c:v>0.12</c:v>
                </c:pt>
                <c:pt idx="17">
                  <c:v>0.14000000000000001</c:v>
                </c:pt>
                <c:pt idx="18">
                  <c:v>0.16</c:v>
                </c:pt>
                <c:pt idx="19">
                  <c:v>0.18</c:v>
                </c:pt>
                <c:pt idx="20">
                  <c:v>0.2</c:v>
                </c:pt>
              </c:numCache>
            </c:numRef>
          </c:xVal>
          <c:yVal>
            <c:numRef>
              <c:f>VsigDC!$B$2:$B$22</c:f>
              <c:numCache>
                <c:formatCode>0</c:formatCode>
                <c:ptCount val="21"/>
                <c:pt idx="0">
                  <c:v>348364.9</c:v>
                </c:pt>
                <c:pt idx="1">
                  <c:v>348172.5</c:v>
                </c:pt>
                <c:pt idx="2">
                  <c:v>353096.1</c:v>
                </c:pt>
                <c:pt idx="3">
                  <c:v>361014</c:v>
                </c:pt>
                <c:pt idx="4">
                  <c:v>370052.4</c:v>
                </c:pt>
                <c:pt idx="5">
                  <c:v>379315.3</c:v>
                </c:pt>
                <c:pt idx="6">
                  <c:v>388480.4</c:v>
                </c:pt>
                <c:pt idx="7">
                  <c:v>397504.5</c:v>
                </c:pt>
                <c:pt idx="8">
                  <c:v>404819.7</c:v>
                </c:pt>
                <c:pt idx="9">
                  <c:v>411385.1</c:v>
                </c:pt>
                <c:pt idx="10">
                  <c:v>417397.2</c:v>
                </c:pt>
                <c:pt idx="11">
                  <c:v>422911.3</c:v>
                </c:pt>
                <c:pt idx="12">
                  <c:v>427948.6</c:v>
                </c:pt>
                <c:pt idx="13">
                  <c:v>432627.8</c:v>
                </c:pt>
                <c:pt idx="14">
                  <c:v>436991.7</c:v>
                </c:pt>
                <c:pt idx="15">
                  <c:v>441077.6</c:v>
                </c:pt>
                <c:pt idx="16">
                  <c:v>444920.5</c:v>
                </c:pt>
                <c:pt idx="17">
                  <c:v>448509.4</c:v>
                </c:pt>
                <c:pt idx="18">
                  <c:v>125081.60000000001</c:v>
                </c:pt>
                <c:pt idx="19">
                  <c:v>276470.8</c:v>
                </c:pt>
                <c:pt idx="20">
                  <c:v>316925.2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13-4EF9-A14C-9ED4C13B3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018175"/>
        <c:axId val="86901721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VsigDC!$C$1</c15:sqref>
                        </c15:formulaRef>
                      </c:ext>
                    </c:extLst>
                    <c:strCache>
                      <c:ptCount val="1"/>
                      <c:pt idx="0">
                        <c:v>fL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VsigDC!$C$2:$C$22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197.43029999999999</c:v>
                      </c:pt>
                      <c:pt idx="1">
                        <c:v>197.53559999999999</c:v>
                      </c:pt>
                      <c:pt idx="2">
                        <c:v>197.626</c:v>
                      </c:pt>
                      <c:pt idx="3">
                        <c:v>197.697</c:v>
                      </c:pt>
                      <c:pt idx="4">
                        <c:v>197.77070000000001</c:v>
                      </c:pt>
                      <c:pt idx="5">
                        <c:v>197.86199999999999</c:v>
                      </c:pt>
                      <c:pt idx="6">
                        <c:v>197.97300000000001</c:v>
                      </c:pt>
                      <c:pt idx="7">
                        <c:v>198.08340000000001</c:v>
                      </c:pt>
                      <c:pt idx="8">
                        <c:v>198.21850000000001</c:v>
                      </c:pt>
                      <c:pt idx="9">
                        <c:v>198.34569999999999</c:v>
                      </c:pt>
                      <c:pt idx="10">
                        <c:v>198.4571</c:v>
                      </c:pt>
                      <c:pt idx="11">
                        <c:v>198.56909999999999</c:v>
                      </c:pt>
                      <c:pt idx="12">
                        <c:v>198.71010000000001</c:v>
                      </c:pt>
                      <c:pt idx="13">
                        <c:v>198.83869999999999</c:v>
                      </c:pt>
                      <c:pt idx="14">
                        <c:v>198.95830000000001</c:v>
                      </c:pt>
                      <c:pt idx="15">
                        <c:v>199.0729</c:v>
                      </c:pt>
                      <c:pt idx="16">
                        <c:v>199.18729999999999</c:v>
                      </c:pt>
                      <c:pt idx="17">
                        <c:v>199.30520000000001</c:v>
                      </c:pt>
                      <c:pt idx="18">
                        <c:v>164.34</c:v>
                      </c:pt>
                      <c:pt idx="19">
                        <c:v>25.566079999999999</c:v>
                      </c:pt>
                      <c:pt idx="20">
                        <c:v>25.4998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1913-4EF9-A14C-9ED4C13B356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VsigDC!$D$1</c15:sqref>
                        </c15:formulaRef>
                      </c:ext>
                    </c:extLst>
                    <c:strCache>
                      <c:ptCount val="1"/>
                      <c:pt idx="0">
                        <c:v>CMRR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VsigDC!$D$2:$D$22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30.6374642601</c:v>
                      </c:pt>
                      <c:pt idx="1">
                        <c:v>37.353039455000001</c:v>
                      </c:pt>
                      <c:pt idx="2">
                        <c:v>44.355832652399997</c:v>
                      </c:pt>
                      <c:pt idx="3">
                        <c:v>51.825588337900001</c:v>
                      </c:pt>
                      <c:pt idx="4">
                        <c:v>59.915451181500003</c:v>
                      </c:pt>
                      <c:pt idx="5">
                        <c:v>65.556352852800003</c:v>
                      </c:pt>
                      <c:pt idx="6">
                        <c:v>64.809308869600002</c:v>
                      </c:pt>
                      <c:pt idx="7">
                        <c:v>63.563416928800002</c:v>
                      </c:pt>
                      <c:pt idx="8">
                        <c:v>62.925765951899997</c:v>
                      </c:pt>
                      <c:pt idx="9">
                        <c:v>62.624396278600003</c:v>
                      </c:pt>
                      <c:pt idx="10">
                        <c:v>62.481570320199999</c:v>
                      </c:pt>
                      <c:pt idx="11">
                        <c:v>62.412075746600003</c:v>
                      </c:pt>
                      <c:pt idx="12">
                        <c:v>62.3763774082</c:v>
                      </c:pt>
                      <c:pt idx="13">
                        <c:v>62.356199853500001</c:v>
                      </c:pt>
                      <c:pt idx="14">
                        <c:v>62.3430967408</c:v>
                      </c:pt>
                      <c:pt idx="15">
                        <c:v>62.333166524299997</c:v>
                      </c:pt>
                      <c:pt idx="16">
                        <c:v>62.324610107300003</c:v>
                      </c:pt>
                      <c:pt idx="17">
                        <c:v>62.316600993500003</c:v>
                      </c:pt>
                      <c:pt idx="18">
                        <c:v>62.308762324900002</c:v>
                      </c:pt>
                      <c:pt idx="19">
                        <c:v>62.300924794300002</c:v>
                      </c:pt>
                      <c:pt idx="20">
                        <c:v>62.2930146056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913-4EF9-A14C-9ED4C13B356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VsigDC!$E$1</c15:sqref>
                        </c15:formulaRef>
                      </c:ext>
                    </c:extLst>
                    <c:strCache>
                      <c:ptCount val="1"/>
                      <c:pt idx="0">
                        <c:v>PSRR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VsigDC!$E$2:$E$22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64.889513555700006</c:v>
                      </c:pt>
                      <c:pt idx="1">
                        <c:v>65.175181393900004</c:v>
                      </c:pt>
                      <c:pt idx="2">
                        <c:v>65.313470236000001</c:v>
                      </c:pt>
                      <c:pt idx="3">
                        <c:v>65.3782799823</c:v>
                      </c:pt>
                      <c:pt idx="4">
                        <c:v>65.409287116800002</c:v>
                      </c:pt>
                      <c:pt idx="5">
                        <c:v>65.425162542600006</c:v>
                      </c:pt>
                      <c:pt idx="6">
                        <c:v>65.434234847599996</c:v>
                      </c:pt>
                      <c:pt idx="7">
                        <c:v>65.440155932500005</c:v>
                      </c:pt>
                      <c:pt idx="8">
                        <c:v>65.444529711200005</c:v>
                      </c:pt>
                      <c:pt idx="9">
                        <c:v>65.448071562600006</c:v>
                      </c:pt>
                      <c:pt idx="10">
                        <c:v>65.451110657200005</c:v>
                      </c:pt>
                      <c:pt idx="11">
                        <c:v>65.453806690600004</c:v>
                      </c:pt>
                      <c:pt idx="12">
                        <c:v>65.456243627199996</c:v>
                      </c:pt>
                      <c:pt idx="13">
                        <c:v>65.458470526499994</c:v>
                      </c:pt>
                      <c:pt idx="14">
                        <c:v>65.460519532999996</c:v>
                      </c:pt>
                      <c:pt idx="15">
                        <c:v>65.462413957999999</c:v>
                      </c:pt>
                      <c:pt idx="16">
                        <c:v>65.4641720252</c:v>
                      </c:pt>
                      <c:pt idx="17">
                        <c:v>65.465808694100005</c:v>
                      </c:pt>
                      <c:pt idx="18">
                        <c:v>65.467336615199997</c:v>
                      </c:pt>
                      <c:pt idx="19">
                        <c:v>65.468766681000005</c:v>
                      </c:pt>
                      <c:pt idx="20">
                        <c:v>65.470108374399999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913-4EF9-A14C-9ED4C13B356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VsigDC!$F$1</c15:sqref>
                        </c15:formulaRef>
                      </c:ext>
                    </c:extLst>
                    <c:strCache>
                      <c:ptCount val="1"/>
                      <c:pt idx="0">
                        <c:v>IRN (V/Hz1/2)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3.9576100000000002E-8</c:v>
                      </c:pt>
                      <c:pt idx="1">
                        <c:v>3.744599E-8</c:v>
                      </c:pt>
                      <c:pt idx="2">
                        <c:v>3.5913889999999998E-8</c:v>
                      </c:pt>
                      <c:pt idx="3">
                        <c:v>3.4733160000000002E-8</c:v>
                      </c:pt>
                      <c:pt idx="4">
                        <c:v>3.3761529999999997E-8</c:v>
                      </c:pt>
                      <c:pt idx="5">
                        <c:v>3.2926150000000001E-8</c:v>
                      </c:pt>
                      <c:pt idx="6">
                        <c:v>3.2189660000000003E-8</c:v>
                      </c:pt>
                      <c:pt idx="7">
                        <c:v>3.1531179999999997E-8</c:v>
                      </c:pt>
                      <c:pt idx="8">
                        <c:v>3.09376E-8</c:v>
                      </c:pt>
                      <c:pt idx="9">
                        <c:v>3.0399750000000001E-8</c:v>
                      </c:pt>
                      <c:pt idx="10">
                        <c:v>2.9910629999999997E-8</c:v>
                      </c:pt>
                      <c:pt idx="11">
                        <c:v>2.946465E-8</c:v>
                      </c:pt>
                      <c:pt idx="12">
                        <c:v>2.9057109999999999E-8</c:v>
                      </c:pt>
                      <c:pt idx="13">
                        <c:v>2.868408E-8</c:v>
                      </c:pt>
                      <c:pt idx="14">
                        <c:v>2.8342150000000001E-8</c:v>
                      </c:pt>
                      <c:pt idx="15">
                        <c:v>2.802835E-8</c:v>
                      </c:pt>
                      <c:pt idx="16">
                        <c:v>2.7740130000000001E-8</c:v>
                      </c:pt>
                      <c:pt idx="17">
                        <c:v>2.7475190000000001E-8</c:v>
                      </c:pt>
                      <c:pt idx="18">
                        <c:v>2.7294559999999999E-8</c:v>
                      </c:pt>
                      <c:pt idx="19">
                        <c:v>8.3899650000000004E-7</c:v>
                      </c:pt>
                      <c:pt idx="20">
                        <c:v>8.3985999999999995E-7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913-4EF9-A14C-9ED4C13B356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VsigDC!$G$1</c15:sqref>
                        </c15:formulaRef>
                      </c:ext>
                    </c:extLst>
                    <c:strCache>
                      <c:ptCount val="1"/>
                      <c:pt idx="0">
                        <c:v>MOP @ 1kHz and 1% THD (W)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VsigDC!$G$2:$G$22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1.4E-3</c:v>
                      </c:pt>
                      <c:pt idx="1">
                        <c:v>5.4000000000000003E-3</c:v>
                      </c:pt>
                      <c:pt idx="2">
                        <c:v>2.1299999999999999E-2</c:v>
                      </c:pt>
                      <c:pt idx="3">
                        <c:v>6.2399999999999997E-2</c:v>
                      </c:pt>
                      <c:pt idx="4">
                        <c:v>0.1138</c:v>
                      </c:pt>
                      <c:pt idx="5">
                        <c:v>0.2324</c:v>
                      </c:pt>
                      <c:pt idx="6">
                        <c:v>0.35809999999999997</c:v>
                      </c:pt>
                      <c:pt idx="7">
                        <c:v>0.51090000000000002</c:v>
                      </c:pt>
                      <c:pt idx="8">
                        <c:v>0.68710000000000004</c:v>
                      </c:pt>
                      <c:pt idx="9">
                        <c:v>0.66220000000000001</c:v>
                      </c:pt>
                      <c:pt idx="10">
                        <c:v>0.51900000000000002</c:v>
                      </c:pt>
                      <c:pt idx="11">
                        <c:v>0.39019999999999999</c:v>
                      </c:pt>
                      <c:pt idx="12">
                        <c:v>0.2767</c:v>
                      </c:pt>
                      <c:pt idx="13">
                        <c:v>0.18429999999999999</c:v>
                      </c:pt>
                      <c:pt idx="14">
                        <c:v>0.112</c:v>
                      </c:pt>
                      <c:pt idx="15">
                        <c:v>5.6500000000000002E-2</c:v>
                      </c:pt>
                      <c:pt idx="16">
                        <c:v>1.9800000000000002E-2</c:v>
                      </c:pt>
                      <c:pt idx="17">
                        <c:v>1.9E-3</c:v>
                      </c:pt>
                      <c:pt idx="18">
                        <c:v>1E-4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0A6-4FEB-BC06-70E869FE0E4D}"/>
                  </c:ext>
                </c:extLst>
              </c15:ser>
            </c15:filteredScatterSeries>
          </c:ext>
        </c:extLst>
      </c:scatterChart>
      <c:valAx>
        <c:axId val="86901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7215"/>
        <c:crosses val="autoZero"/>
        <c:crossBetween val="midCat"/>
      </c:valAx>
      <c:valAx>
        <c:axId val="86901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8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2"/>
          <c:tx>
            <c:strRef>
              <c:f>VsigDC!$D$1</c:f>
              <c:strCache>
                <c:ptCount val="1"/>
                <c:pt idx="0">
                  <c:v>CMRR (dB)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VsigDC!$A$2:$A$22</c:f>
              <c:numCache>
                <c:formatCode>General</c:formatCode>
                <c:ptCount val="21"/>
                <c:pt idx="0">
                  <c:v>-0.2</c:v>
                </c:pt>
                <c:pt idx="1">
                  <c:v>-0.18</c:v>
                </c:pt>
                <c:pt idx="2">
                  <c:v>-0.16</c:v>
                </c:pt>
                <c:pt idx="3">
                  <c:v>-0.14000000000000001</c:v>
                </c:pt>
                <c:pt idx="4">
                  <c:v>-0.12</c:v>
                </c:pt>
                <c:pt idx="5">
                  <c:v>-0.1</c:v>
                </c:pt>
                <c:pt idx="6">
                  <c:v>-0.08</c:v>
                </c:pt>
                <c:pt idx="7">
                  <c:v>-0.06</c:v>
                </c:pt>
                <c:pt idx="8">
                  <c:v>-0.04</c:v>
                </c:pt>
                <c:pt idx="9">
                  <c:v>-0.02</c:v>
                </c:pt>
                <c:pt idx="10">
                  <c:v>0</c:v>
                </c:pt>
                <c:pt idx="11">
                  <c:v>0.02</c:v>
                </c:pt>
                <c:pt idx="12">
                  <c:v>0.04</c:v>
                </c:pt>
                <c:pt idx="13">
                  <c:v>0.06</c:v>
                </c:pt>
                <c:pt idx="14">
                  <c:v>0.08</c:v>
                </c:pt>
                <c:pt idx="15">
                  <c:v>0.1</c:v>
                </c:pt>
                <c:pt idx="16">
                  <c:v>0.12</c:v>
                </c:pt>
                <c:pt idx="17">
                  <c:v>0.14000000000000001</c:v>
                </c:pt>
                <c:pt idx="18">
                  <c:v>0.16</c:v>
                </c:pt>
                <c:pt idx="19">
                  <c:v>0.18</c:v>
                </c:pt>
                <c:pt idx="20">
                  <c:v>0.2</c:v>
                </c:pt>
              </c:numCache>
            </c:numRef>
          </c:xVal>
          <c:yVal>
            <c:numRef>
              <c:f>VsigDC!$D$2:$D$22</c:f>
              <c:numCache>
                <c:formatCode>0.00</c:formatCode>
                <c:ptCount val="21"/>
                <c:pt idx="0">
                  <c:v>30.6374642601</c:v>
                </c:pt>
                <c:pt idx="1">
                  <c:v>37.353039455000001</c:v>
                </c:pt>
                <c:pt idx="2">
                  <c:v>44.355832652399997</c:v>
                </c:pt>
                <c:pt idx="3">
                  <c:v>51.825588337900001</c:v>
                </c:pt>
                <c:pt idx="4">
                  <c:v>59.915451181500003</c:v>
                </c:pt>
                <c:pt idx="5">
                  <c:v>65.556352852800003</c:v>
                </c:pt>
                <c:pt idx="6">
                  <c:v>64.809308869600002</c:v>
                </c:pt>
                <c:pt idx="7">
                  <c:v>63.563416928800002</c:v>
                </c:pt>
                <c:pt idx="8">
                  <c:v>62.925765951899997</c:v>
                </c:pt>
                <c:pt idx="9">
                  <c:v>62.624396278600003</c:v>
                </c:pt>
                <c:pt idx="10">
                  <c:v>62.481570320199999</c:v>
                </c:pt>
                <c:pt idx="11">
                  <c:v>62.412075746600003</c:v>
                </c:pt>
                <c:pt idx="12">
                  <c:v>62.3763774082</c:v>
                </c:pt>
                <c:pt idx="13">
                  <c:v>62.356199853500001</c:v>
                </c:pt>
                <c:pt idx="14">
                  <c:v>62.3430967408</c:v>
                </c:pt>
                <c:pt idx="15">
                  <c:v>62.333166524299997</c:v>
                </c:pt>
                <c:pt idx="16">
                  <c:v>62.324610107300003</c:v>
                </c:pt>
                <c:pt idx="17">
                  <c:v>62.316600993500003</c:v>
                </c:pt>
                <c:pt idx="18">
                  <c:v>62.308762324900002</c:v>
                </c:pt>
                <c:pt idx="19">
                  <c:v>62.300924794300002</c:v>
                </c:pt>
                <c:pt idx="20">
                  <c:v>62.2930146056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4F-437B-A8E2-732C2BAAC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036895"/>
        <c:axId val="86904697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VsigDC!$B$1</c15:sqref>
                        </c15:formulaRef>
                      </c:ext>
                    </c:extLst>
                    <c:strCache>
                      <c:ptCount val="1"/>
                      <c:pt idx="0">
                        <c:v>fH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VsigDC!$B$2:$B$22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348364.9</c:v>
                      </c:pt>
                      <c:pt idx="1">
                        <c:v>348172.5</c:v>
                      </c:pt>
                      <c:pt idx="2">
                        <c:v>353096.1</c:v>
                      </c:pt>
                      <c:pt idx="3">
                        <c:v>361014</c:v>
                      </c:pt>
                      <c:pt idx="4">
                        <c:v>370052.4</c:v>
                      </c:pt>
                      <c:pt idx="5">
                        <c:v>379315.3</c:v>
                      </c:pt>
                      <c:pt idx="6">
                        <c:v>388480.4</c:v>
                      </c:pt>
                      <c:pt idx="7">
                        <c:v>397504.5</c:v>
                      </c:pt>
                      <c:pt idx="8">
                        <c:v>404819.7</c:v>
                      </c:pt>
                      <c:pt idx="9">
                        <c:v>411385.1</c:v>
                      </c:pt>
                      <c:pt idx="10">
                        <c:v>417397.2</c:v>
                      </c:pt>
                      <c:pt idx="11">
                        <c:v>422911.3</c:v>
                      </c:pt>
                      <c:pt idx="12">
                        <c:v>427948.6</c:v>
                      </c:pt>
                      <c:pt idx="13">
                        <c:v>432627.8</c:v>
                      </c:pt>
                      <c:pt idx="14">
                        <c:v>436991.7</c:v>
                      </c:pt>
                      <c:pt idx="15">
                        <c:v>441077.6</c:v>
                      </c:pt>
                      <c:pt idx="16">
                        <c:v>444920.5</c:v>
                      </c:pt>
                      <c:pt idx="17">
                        <c:v>448509.4</c:v>
                      </c:pt>
                      <c:pt idx="18">
                        <c:v>125081.60000000001</c:v>
                      </c:pt>
                      <c:pt idx="19">
                        <c:v>276470.8</c:v>
                      </c:pt>
                      <c:pt idx="20">
                        <c:v>316925.2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64F-437B-A8E2-732C2BAACF42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VsigDC!$C$1</c15:sqref>
                        </c15:formulaRef>
                      </c:ext>
                    </c:extLst>
                    <c:strCache>
                      <c:ptCount val="1"/>
                      <c:pt idx="0">
                        <c:v>fL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VsigDC!$C$2:$C$22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197.43029999999999</c:v>
                      </c:pt>
                      <c:pt idx="1">
                        <c:v>197.53559999999999</c:v>
                      </c:pt>
                      <c:pt idx="2">
                        <c:v>197.626</c:v>
                      </c:pt>
                      <c:pt idx="3">
                        <c:v>197.697</c:v>
                      </c:pt>
                      <c:pt idx="4">
                        <c:v>197.77070000000001</c:v>
                      </c:pt>
                      <c:pt idx="5">
                        <c:v>197.86199999999999</c:v>
                      </c:pt>
                      <c:pt idx="6">
                        <c:v>197.97300000000001</c:v>
                      </c:pt>
                      <c:pt idx="7">
                        <c:v>198.08340000000001</c:v>
                      </c:pt>
                      <c:pt idx="8">
                        <c:v>198.21850000000001</c:v>
                      </c:pt>
                      <c:pt idx="9">
                        <c:v>198.34569999999999</c:v>
                      </c:pt>
                      <c:pt idx="10">
                        <c:v>198.4571</c:v>
                      </c:pt>
                      <c:pt idx="11">
                        <c:v>198.56909999999999</c:v>
                      </c:pt>
                      <c:pt idx="12">
                        <c:v>198.71010000000001</c:v>
                      </c:pt>
                      <c:pt idx="13">
                        <c:v>198.83869999999999</c:v>
                      </c:pt>
                      <c:pt idx="14">
                        <c:v>198.95830000000001</c:v>
                      </c:pt>
                      <c:pt idx="15">
                        <c:v>199.0729</c:v>
                      </c:pt>
                      <c:pt idx="16">
                        <c:v>199.18729999999999</c:v>
                      </c:pt>
                      <c:pt idx="17">
                        <c:v>199.30520000000001</c:v>
                      </c:pt>
                      <c:pt idx="18">
                        <c:v>164.34</c:v>
                      </c:pt>
                      <c:pt idx="19">
                        <c:v>25.566079999999999</c:v>
                      </c:pt>
                      <c:pt idx="20">
                        <c:v>25.4998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64F-437B-A8E2-732C2BAACF4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VsigDC!$E$1</c15:sqref>
                        </c15:formulaRef>
                      </c:ext>
                    </c:extLst>
                    <c:strCache>
                      <c:ptCount val="1"/>
                      <c:pt idx="0">
                        <c:v>PSRR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VsigDC!$E$2:$E$22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64.889513555700006</c:v>
                      </c:pt>
                      <c:pt idx="1">
                        <c:v>65.175181393900004</c:v>
                      </c:pt>
                      <c:pt idx="2">
                        <c:v>65.313470236000001</c:v>
                      </c:pt>
                      <c:pt idx="3">
                        <c:v>65.3782799823</c:v>
                      </c:pt>
                      <c:pt idx="4">
                        <c:v>65.409287116800002</c:v>
                      </c:pt>
                      <c:pt idx="5">
                        <c:v>65.425162542600006</c:v>
                      </c:pt>
                      <c:pt idx="6">
                        <c:v>65.434234847599996</c:v>
                      </c:pt>
                      <c:pt idx="7">
                        <c:v>65.440155932500005</c:v>
                      </c:pt>
                      <c:pt idx="8">
                        <c:v>65.444529711200005</c:v>
                      </c:pt>
                      <c:pt idx="9">
                        <c:v>65.448071562600006</c:v>
                      </c:pt>
                      <c:pt idx="10">
                        <c:v>65.451110657200005</c:v>
                      </c:pt>
                      <c:pt idx="11">
                        <c:v>65.453806690600004</c:v>
                      </c:pt>
                      <c:pt idx="12">
                        <c:v>65.456243627199996</c:v>
                      </c:pt>
                      <c:pt idx="13">
                        <c:v>65.458470526499994</c:v>
                      </c:pt>
                      <c:pt idx="14">
                        <c:v>65.460519532999996</c:v>
                      </c:pt>
                      <c:pt idx="15">
                        <c:v>65.462413957999999</c:v>
                      </c:pt>
                      <c:pt idx="16">
                        <c:v>65.4641720252</c:v>
                      </c:pt>
                      <c:pt idx="17">
                        <c:v>65.465808694100005</c:v>
                      </c:pt>
                      <c:pt idx="18">
                        <c:v>65.467336615199997</c:v>
                      </c:pt>
                      <c:pt idx="19">
                        <c:v>65.468766681000005</c:v>
                      </c:pt>
                      <c:pt idx="20">
                        <c:v>65.470108374399999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64F-437B-A8E2-732C2BAACF4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VsigDC!$F$1</c15:sqref>
                        </c15:formulaRef>
                      </c:ext>
                    </c:extLst>
                    <c:strCache>
                      <c:ptCount val="1"/>
                      <c:pt idx="0">
                        <c:v>IRN (V/Hz1/2)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3.9576100000000002E-8</c:v>
                      </c:pt>
                      <c:pt idx="1">
                        <c:v>3.744599E-8</c:v>
                      </c:pt>
                      <c:pt idx="2">
                        <c:v>3.5913889999999998E-8</c:v>
                      </c:pt>
                      <c:pt idx="3">
                        <c:v>3.4733160000000002E-8</c:v>
                      </c:pt>
                      <c:pt idx="4">
                        <c:v>3.3761529999999997E-8</c:v>
                      </c:pt>
                      <c:pt idx="5">
                        <c:v>3.2926150000000001E-8</c:v>
                      </c:pt>
                      <c:pt idx="6">
                        <c:v>3.2189660000000003E-8</c:v>
                      </c:pt>
                      <c:pt idx="7">
                        <c:v>3.1531179999999997E-8</c:v>
                      </c:pt>
                      <c:pt idx="8">
                        <c:v>3.09376E-8</c:v>
                      </c:pt>
                      <c:pt idx="9">
                        <c:v>3.0399750000000001E-8</c:v>
                      </c:pt>
                      <c:pt idx="10">
                        <c:v>2.9910629999999997E-8</c:v>
                      </c:pt>
                      <c:pt idx="11">
                        <c:v>2.946465E-8</c:v>
                      </c:pt>
                      <c:pt idx="12">
                        <c:v>2.9057109999999999E-8</c:v>
                      </c:pt>
                      <c:pt idx="13">
                        <c:v>2.868408E-8</c:v>
                      </c:pt>
                      <c:pt idx="14">
                        <c:v>2.8342150000000001E-8</c:v>
                      </c:pt>
                      <c:pt idx="15">
                        <c:v>2.802835E-8</c:v>
                      </c:pt>
                      <c:pt idx="16">
                        <c:v>2.7740130000000001E-8</c:v>
                      </c:pt>
                      <c:pt idx="17">
                        <c:v>2.7475190000000001E-8</c:v>
                      </c:pt>
                      <c:pt idx="18">
                        <c:v>2.7294559999999999E-8</c:v>
                      </c:pt>
                      <c:pt idx="19">
                        <c:v>8.3899650000000004E-7</c:v>
                      </c:pt>
                      <c:pt idx="20">
                        <c:v>8.3985999999999995E-7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64F-437B-A8E2-732C2BAACF42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VsigDC!$G$1</c15:sqref>
                        </c15:formulaRef>
                      </c:ext>
                    </c:extLst>
                    <c:strCache>
                      <c:ptCount val="1"/>
                      <c:pt idx="0">
                        <c:v>MOP @ 1kHz and 1% THD (W)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VsigDC!$G$2:$G$22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1.4E-3</c:v>
                      </c:pt>
                      <c:pt idx="1">
                        <c:v>5.4000000000000003E-3</c:v>
                      </c:pt>
                      <c:pt idx="2">
                        <c:v>2.1299999999999999E-2</c:v>
                      </c:pt>
                      <c:pt idx="3">
                        <c:v>6.2399999999999997E-2</c:v>
                      </c:pt>
                      <c:pt idx="4">
                        <c:v>0.1138</c:v>
                      </c:pt>
                      <c:pt idx="5">
                        <c:v>0.2324</c:v>
                      </c:pt>
                      <c:pt idx="6">
                        <c:v>0.35809999999999997</c:v>
                      </c:pt>
                      <c:pt idx="7">
                        <c:v>0.51090000000000002</c:v>
                      </c:pt>
                      <c:pt idx="8">
                        <c:v>0.68710000000000004</c:v>
                      </c:pt>
                      <c:pt idx="9">
                        <c:v>0.66220000000000001</c:v>
                      </c:pt>
                      <c:pt idx="10">
                        <c:v>0.51900000000000002</c:v>
                      </c:pt>
                      <c:pt idx="11">
                        <c:v>0.39019999999999999</c:v>
                      </c:pt>
                      <c:pt idx="12">
                        <c:v>0.2767</c:v>
                      </c:pt>
                      <c:pt idx="13">
                        <c:v>0.18429999999999999</c:v>
                      </c:pt>
                      <c:pt idx="14">
                        <c:v>0.112</c:v>
                      </c:pt>
                      <c:pt idx="15">
                        <c:v>5.6500000000000002E-2</c:v>
                      </c:pt>
                      <c:pt idx="16">
                        <c:v>1.9800000000000002E-2</c:v>
                      </c:pt>
                      <c:pt idx="17">
                        <c:v>1.9E-3</c:v>
                      </c:pt>
                      <c:pt idx="18">
                        <c:v>1E-4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A19-4B7B-BA2A-29FA7E7960E8}"/>
                  </c:ext>
                </c:extLst>
              </c15:ser>
            </c15:filteredScatterSeries>
          </c:ext>
        </c:extLst>
      </c:scatterChart>
      <c:valAx>
        <c:axId val="86903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46975"/>
        <c:crosses val="autoZero"/>
        <c:crossBetween val="midCat"/>
      </c:valAx>
      <c:valAx>
        <c:axId val="86904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3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854111986001749E-2"/>
          <c:y val="6.9861111111111124E-2"/>
          <c:w val="0.89056255468066492"/>
          <c:h val="0.6714577865266842"/>
        </c:manualLayout>
      </c:layout>
      <c:scatterChart>
        <c:scatterStyle val="smoothMarker"/>
        <c:varyColors val="0"/>
        <c:ser>
          <c:idx val="4"/>
          <c:order val="4"/>
          <c:tx>
            <c:strRef>
              <c:f>VsigDC!$F$1</c:f>
              <c:strCache>
                <c:ptCount val="1"/>
                <c:pt idx="0">
                  <c:v>IRN (V/Hz1/2)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VsigDC!$A$2:$A$22</c:f>
              <c:numCache>
                <c:formatCode>General</c:formatCode>
                <c:ptCount val="21"/>
                <c:pt idx="0">
                  <c:v>-0.2</c:v>
                </c:pt>
                <c:pt idx="1">
                  <c:v>-0.18</c:v>
                </c:pt>
                <c:pt idx="2">
                  <c:v>-0.16</c:v>
                </c:pt>
                <c:pt idx="3">
                  <c:v>-0.14000000000000001</c:v>
                </c:pt>
                <c:pt idx="4">
                  <c:v>-0.12</c:v>
                </c:pt>
                <c:pt idx="5">
                  <c:v>-0.1</c:v>
                </c:pt>
                <c:pt idx="6">
                  <c:v>-0.08</c:v>
                </c:pt>
                <c:pt idx="7">
                  <c:v>-0.06</c:v>
                </c:pt>
                <c:pt idx="8">
                  <c:v>-0.04</c:v>
                </c:pt>
                <c:pt idx="9">
                  <c:v>-0.02</c:v>
                </c:pt>
                <c:pt idx="10">
                  <c:v>0</c:v>
                </c:pt>
                <c:pt idx="11">
                  <c:v>0.02</c:v>
                </c:pt>
                <c:pt idx="12">
                  <c:v>0.04</c:v>
                </c:pt>
                <c:pt idx="13">
                  <c:v>0.06</c:v>
                </c:pt>
                <c:pt idx="14">
                  <c:v>0.08</c:v>
                </c:pt>
                <c:pt idx="15">
                  <c:v>0.1</c:v>
                </c:pt>
                <c:pt idx="16">
                  <c:v>0.12</c:v>
                </c:pt>
                <c:pt idx="17">
                  <c:v>0.14000000000000001</c:v>
                </c:pt>
                <c:pt idx="18">
                  <c:v>0.16</c:v>
                </c:pt>
                <c:pt idx="19">
                  <c:v>0.18</c:v>
                </c:pt>
                <c:pt idx="20">
                  <c:v>0.2</c:v>
                </c:pt>
              </c:numCache>
            </c:numRef>
          </c:xVal>
          <c:yVal>
            <c:numRef>
              <c:f>VsigDC!$F$2:$F$22</c:f>
              <c:numCache>
                <c:formatCode>General</c:formatCode>
                <c:ptCount val="21"/>
                <c:pt idx="0">
                  <c:v>3.9576100000000002E-8</c:v>
                </c:pt>
                <c:pt idx="1">
                  <c:v>3.744599E-8</c:v>
                </c:pt>
                <c:pt idx="2">
                  <c:v>3.5913889999999998E-8</c:v>
                </c:pt>
                <c:pt idx="3">
                  <c:v>3.4733160000000002E-8</c:v>
                </c:pt>
                <c:pt idx="4">
                  <c:v>3.3761529999999997E-8</c:v>
                </c:pt>
                <c:pt idx="5">
                  <c:v>3.2926150000000001E-8</c:v>
                </c:pt>
                <c:pt idx="6">
                  <c:v>3.2189660000000003E-8</c:v>
                </c:pt>
                <c:pt idx="7">
                  <c:v>3.1531179999999997E-8</c:v>
                </c:pt>
                <c:pt idx="8">
                  <c:v>3.09376E-8</c:v>
                </c:pt>
                <c:pt idx="9">
                  <c:v>3.0399750000000001E-8</c:v>
                </c:pt>
                <c:pt idx="10">
                  <c:v>2.9910629999999997E-8</c:v>
                </c:pt>
                <c:pt idx="11">
                  <c:v>2.946465E-8</c:v>
                </c:pt>
                <c:pt idx="12">
                  <c:v>2.9057109999999999E-8</c:v>
                </c:pt>
                <c:pt idx="13">
                  <c:v>2.868408E-8</c:v>
                </c:pt>
                <c:pt idx="14">
                  <c:v>2.8342150000000001E-8</c:v>
                </c:pt>
                <c:pt idx="15">
                  <c:v>2.802835E-8</c:v>
                </c:pt>
                <c:pt idx="16">
                  <c:v>2.7740130000000001E-8</c:v>
                </c:pt>
                <c:pt idx="17">
                  <c:v>2.7475190000000001E-8</c:v>
                </c:pt>
                <c:pt idx="18">
                  <c:v>2.7294559999999999E-8</c:v>
                </c:pt>
                <c:pt idx="19">
                  <c:v>8.3899650000000004E-7</c:v>
                </c:pt>
                <c:pt idx="20">
                  <c:v>8.3985999999999995E-7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B6B-4490-AFB7-22A1A1791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972575"/>
        <c:axId val="86895913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VsigDC!$B$1</c15:sqref>
                        </c15:formulaRef>
                      </c:ext>
                    </c:extLst>
                    <c:strCache>
                      <c:ptCount val="1"/>
                      <c:pt idx="0">
                        <c:v>fH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VsigDC!$B$2:$B$22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348364.9</c:v>
                      </c:pt>
                      <c:pt idx="1">
                        <c:v>348172.5</c:v>
                      </c:pt>
                      <c:pt idx="2">
                        <c:v>353096.1</c:v>
                      </c:pt>
                      <c:pt idx="3">
                        <c:v>361014</c:v>
                      </c:pt>
                      <c:pt idx="4">
                        <c:v>370052.4</c:v>
                      </c:pt>
                      <c:pt idx="5">
                        <c:v>379315.3</c:v>
                      </c:pt>
                      <c:pt idx="6">
                        <c:v>388480.4</c:v>
                      </c:pt>
                      <c:pt idx="7">
                        <c:v>397504.5</c:v>
                      </c:pt>
                      <c:pt idx="8">
                        <c:v>404819.7</c:v>
                      </c:pt>
                      <c:pt idx="9">
                        <c:v>411385.1</c:v>
                      </c:pt>
                      <c:pt idx="10">
                        <c:v>417397.2</c:v>
                      </c:pt>
                      <c:pt idx="11">
                        <c:v>422911.3</c:v>
                      </c:pt>
                      <c:pt idx="12">
                        <c:v>427948.6</c:v>
                      </c:pt>
                      <c:pt idx="13">
                        <c:v>432627.8</c:v>
                      </c:pt>
                      <c:pt idx="14">
                        <c:v>436991.7</c:v>
                      </c:pt>
                      <c:pt idx="15">
                        <c:v>441077.6</c:v>
                      </c:pt>
                      <c:pt idx="16">
                        <c:v>444920.5</c:v>
                      </c:pt>
                      <c:pt idx="17">
                        <c:v>448509.4</c:v>
                      </c:pt>
                      <c:pt idx="18">
                        <c:v>125081.60000000001</c:v>
                      </c:pt>
                      <c:pt idx="19">
                        <c:v>276470.8</c:v>
                      </c:pt>
                      <c:pt idx="20">
                        <c:v>316925.2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B6B-4490-AFB7-22A1A17915C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VsigDC!$C$1</c15:sqref>
                        </c15:formulaRef>
                      </c:ext>
                    </c:extLst>
                    <c:strCache>
                      <c:ptCount val="1"/>
                      <c:pt idx="0">
                        <c:v>fL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VsigDC!$C$2:$C$22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197.43029999999999</c:v>
                      </c:pt>
                      <c:pt idx="1">
                        <c:v>197.53559999999999</c:v>
                      </c:pt>
                      <c:pt idx="2">
                        <c:v>197.626</c:v>
                      </c:pt>
                      <c:pt idx="3">
                        <c:v>197.697</c:v>
                      </c:pt>
                      <c:pt idx="4">
                        <c:v>197.77070000000001</c:v>
                      </c:pt>
                      <c:pt idx="5">
                        <c:v>197.86199999999999</c:v>
                      </c:pt>
                      <c:pt idx="6">
                        <c:v>197.97300000000001</c:v>
                      </c:pt>
                      <c:pt idx="7">
                        <c:v>198.08340000000001</c:v>
                      </c:pt>
                      <c:pt idx="8">
                        <c:v>198.21850000000001</c:v>
                      </c:pt>
                      <c:pt idx="9">
                        <c:v>198.34569999999999</c:v>
                      </c:pt>
                      <c:pt idx="10">
                        <c:v>198.4571</c:v>
                      </c:pt>
                      <c:pt idx="11">
                        <c:v>198.56909999999999</c:v>
                      </c:pt>
                      <c:pt idx="12">
                        <c:v>198.71010000000001</c:v>
                      </c:pt>
                      <c:pt idx="13">
                        <c:v>198.83869999999999</c:v>
                      </c:pt>
                      <c:pt idx="14">
                        <c:v>198.95830000000001</c:v>
                      </c:pt>
                      <c:pt idx="15">
                        <c:v>199.0729</c:v>
                      </c:pt>
                      <c:pt idx="16">
                        <c:v>199.18729999999999</c:v>
                      </c:pt>
                      <c:pt idx="17">
                        <c:v>199.30520000000001</c:v>
                      </c:pt>
                      <c:pt idx="18">
                        <c:v>164.34</c:v>
                      </c:pt>
                      <c:pt idx="19">
                        <c:v>25.566079999999999</c:v>
                      </c:pt>
                      <c:pt idx="20">
                        <c:v>25.4998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B6B-4490-AFB7-22A1A17915C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VsigDC!$D$1</c15:sqref>
                        </c15:formulaRef>
                      </c:ext>
                    </c:extLst>
                    <c:strCache>
                      <c:ptCount val="1"/>
                      <c:pt idx="0">
                        <c:v>CMRR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VsigDC!$D$2:$D$22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30.6374642601</c:v>
                      </c:pt>
                      <c:pt idx="1">
                        <c:v>37.353039455000001</c:v>
                      </c:pt>
                      <c:pt idx="2">
                        <c:v>44.355832652399997</c:v>
                      </c:pt>
                      <c:pt idx="3">
                        <c:v>51.825588337900001</c:v>
                      </c:pt>
                      <c:pt idx="4">
                        <c:v>59.915451181500003</c:v>
                      </c:pt>
                      <c:pt idx="5">
                        <c:v>65.556352852800003</c:v>
                      </c:pt>
                      <c:pt idx="6">
                        <c:v>64.809308869600002</c:v>
                      </c:pt>
                      <c:pt idx="7">
                        <c:v>63.563416928800002</c:v>
                      </c:pt>
                      <c:pt idx="8">
                        <c:v>62.925765951899997</c:v>
                      </c:pt>
                      <c:pt idx="9">
                        <c:v>62.624396278600003</c:v>
                      </c:pt>
                      <c:pt idx="10">
                        <c:v>62.481570320199999</c:v>
                      </c:pt>
                      <c:pt idx="11">
                        <c:v>62.412075746600003</c:v>
                      </c:pt>
                      <c:pt idx="12">
                        <c:v>62.3763774082</c:v>
                      </c:pt>
                      <c:pt idx="13">
                        <c:v>62.356199853500001</c:v>
                      </c:pt>
                      <c:pt idx="14">
                        <c:v>62.3430967408</c:v>
                      </c:pt>
                      <c:pt idx="15">
                        <c:v>62.333166524299997</c:v>
                      </c:pt>
                      <c:pt idx="16">
                        <c:v>62.324610107300003</c:v>
                      </c:pt>
                      <c:pt idx="17">
                        <c:v>62.316600993500003</c:v>
                      </c:pt>
                      <c:pt idx="18">
                        <c:v>62.308762324900002</c:v>
                      </c:pt>
                      <c:pt idx="19">
                        <c:v>62.300924794300002</c:v>
                      </c:pt>
                      <c:pt idx="20">
                        <c:v>62.2930146056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B6B-4490-AFB7-22A1A17915C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VsigDC!$E$1</c15:sqref>
                        </c15:formulaRef>
                      </c:ext>
                    </c:extLst>
                    <c:strCache>
                      <c:ptCount val="1"/>
                      <c:pt idx="0">
                        <c:v>PSRR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VsigDC!$E$2:$E$22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64.889513555700006</c:v>
                      </c:pt>
                      <c:pt idx="1">
                        <c:v>65.175181393900004</c:v>
                      </c:pt>
                      <c:pt idx="2">
                        <c:v>65.313470236000001</c:v>
                      </c:pt>
                      <c:pt idx="3">
                        <c:v>65.3782799823</c:v>
                      </c:pt>
                      <c:pt idx="4">
                        <c:v>65.409287116800002</c:v>
                      </c:pt>
                      <c:pt idx="5">
                        <c:v>65.425162542600006</c:v>
                      </c:pt>
                      <c:pt idx="6">
                        <c:v>65.434234847599996</c:v>
                      </c:pt>
                      <c:pt idx="7">
                        <c:v>65.440155932500005</c:v>
                      </c:pt>
                      <c:pt idx="8">
                        <c:v>65.444529711200005</c:v>
                      </c:pt>
                      <c:pt idx="9">
                        <c:v>65.448071562600006</c:v>
                      </c:pt>
                      <c:pt idx="10">
                        <c:v>65.451110657200005</c:v>
                      </c:pt>
                      <c:pt idx="11">
                        <c:v>65.453806690600004</c:v>
                      </c:pt>
                      <c:pt idx="12">
                        <c:v>65.456243627199996</c:v>
                      </c:pt>
                      <c:pt idx="13">
                        <c:v>65.458470526499994</c:v>
                      </c:pt>
                      <c:pt idx="14">
                        <c:v>65.460519532999996</c:v>
                      </c:pt>
                      <c:pt idx="15">
                        <c:v>65.462413957999999</c:v>
                      </c:pt>
                      <c:pt idx="16">
                        <c:v>65.4641720252</c:v>
                      </c:pt>
                      <c:pt idx="17">
                        <c:v>65.465808694100005</c:v>
                      </c:pt>
                      <c:pt idx="18">
                        <c:v>65.467336615199997</c:v>
                      </c:pt>
                      <c:pt idx="19">
                        <c:v>65.468766681000005</c:v>
                      </c:pt>
                      <c:pt idx="20">
                        <c:v>65.470108374399999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B6B-4490-AFB7-22A1A17915C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VsigDC!$G$1</c15:sqref>
                        </c15:formulaRef>
                      </c:ext>
                    </c:extLst>
                    <c:strCache>
                      <c:ptCount val="1"/>
                      <c:pt idx="0">
                        <c:v>MOP @ 1kHz and 1% THD (W)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VsigDC!$G$2:$G$22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1.4E-3</c:v>
                      </c:pt>
                      <c:pt idx="1">
                        <c:v>5.4000000000000003E-3</c:v>
                      </c:pt>
                      <c:pt idx="2">
                        <c:v>2.1299999999999999E-2</c:v>
                      </c:pt>
                      <c:pt idx="3">
                        <c:v>6.2399999999999997E-2</c:v>
                      </c:pt>
                      <c:pt idx="4">
                        <c:v>0.1138</c:v>
                      </c:pt>
                      <c:pt idx="5">
                        <c:v>0.2324</c:v>
                      </c:pt>
                      <c:pt idx="6">
                        <c:v>0.35809999999999997</c:v>
                      </c:pt>
                      <c:pt idx="7">
                        <c:v>0.51090000000000002</c:v>
                      </c:pt>
                      <c:pt idx="8">
                        <c:v>0.68710000000000004</c:v>
                      </c:pt>
                      <c:pt idx="9">
                        <c:v>0.66220000000000001</c:v>
                      </c:pt>
                      <c:pt idx="10">
                        <c:v>0.51900000000000002</c:v>
                      </c:pt>
                      <c:pt idx="11">
                        <c:v>0.39019999999999999</c:v>
                      </c:pt>
                      <c:pt idx="12">
                        <c:v>0.2767</c:v>
                      </c:pt>
                      <c:pt idx="13">
                        <c:v>0.18429999999999999</c:v>
                      </c:pt>
                      <c:pt idx="14">
                        <c:v>0.112</c:v>
                      </c:pt>
                      <c:pt idx="15">
                        <c:v>5.6500000000000002E-2</c:v>
                      </c:pt>
                      <c:pt idx="16">
                        <c:v>1.9800000000000002E-2</c:v>
                      </c:pt>
                      <c:pt idx="17">
                        <c:v>1.9E-3</c:v>
                      </c:pt>
                      <c:pt idx="18">
                        <c:v>1E-4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CE9-450E-982C-7FA738252D89}"/>
                  </c:ext>
                </c:extLst>
              </c15:ser>
            </c15:filteredScatterSeries>
          </c:ext>
        </c:extLst>
      </c:scatterChart>
      <c:valAx>
        <c:axId val="8689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59135"/>
        <c:crosses val="autoZero"/>
        <c:crossBetween val="midCat"/>
      </c:valAx>
      <c:valAx>
        <c:axId val="86895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72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4"/>
          <c:order val="4"/>
          <c:tx>
            <c:strRef>
              <c:f>VsigDC!$F$1</c:f>
              <c:strCache>
                <c:ptCount val="1"/>
                <c:pt idx="0">
                  <c:v>IRN (V/Hz1/2)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VsigDC!$A$2:$A$22</c:f>
              <c:numCache>
                <c:formatCode>General</c:formatCode>
                <c:ptCount val="21"/>
                <c:pt idx="0">
                  <c:v>-0.2</c:v>
                </c:pt>
                <c:pt idx="1">
                  <c:v>-0.18</c:v>
                </c:pt>
                <c:pt idx="2">
                  <c:v>-0.16</c:v>
                </c:pt>
                <c:pt idx="3">
                  <c:v>-0.14000000000000001</c:v>
                </c:pt>
                <c:pt idx="4">
                  <c:v>-0.12</c:v>
                </c:pt>
                <c:pt idx="5">
                  <c:v>-0.1</c:v>
                </c:pt>
                <c:pt idx="6">
                  <c:v>-0.08</c:v>
                </c:pt>
                <c:pt idx="7">
                  <c:v>-0.06</c:v>
                </c:pt>
                <c:pt idx="8">
                  <c:v>-0.04</c:v>
                </c:pt>
                <c:pt idx="9">
                  <c:v>-0.02</c:v>
                </c:pt>
                <c:pt idx="10">
                  <c:v>0</c:v>
                </c:pt>
                <c:pt idx="11">
                  <c:v>0.02</c:v>
                </c:pt>
                <c:pt idx="12">
                  <c:v>0.04</c:v>
                </c:pt>
                <c:pt idx="13">
                  <c:v>0.06</c:v>
                </c:pt>
                <c:pt idx="14">
                  <c:v>0.08</c:v>
                </c:pt>
                <c:pt idx="15">
                  <c:v>0.1</c:v>
                </c:pt>
                <c:pt idx="16">
                  <c:v>0.12</c:v>
                </c:pt>
                <c:pt idx="17">
                  <c:v>0.14000000000000001</c:v>
                </c:pt>
                <c:pt idx="18">
                  <c:v>0.16</c:v>
                </c:pt>
                <c:pt idx="19">
                  <c:v>0.18</c:v>
                </c:pt>
                <c:pt idx="20">
                  <c:v>0.2</c:v>
                </c:pt>
              </c:numCache>
            </c:numRef>
          </c:xVal>
          <c:yVal>
            <c:numRef>
              <c:f>VsigDC!$F$2:$F$20</c:f>
              <c:numCache>
                <c:formatCode>General</c:formatCode>
                <c:ptCount val="19"/>
                <c:pt idx="0">
                  <c:v>3.9576100000000002E-8</c:v>
                </c:pt>
                <c:pt idx="1">
                  <c:v>3.744599E-8</c:v>
                </c:pt>
                <c:pt idx="2">
                  <c:v>3.5913889999999998E-8</c:v>
                </c:pt>
                <c:pt idx="3">
                  <c:v>3.4733160000000002E-8</c:v>
                </c:pt>
                <c:pt idx="4">
                  <c:v>3.3761529999999997E-8</c:v>
                </c:pt>
                <c:pt idx="5">
                  <c:v>3.2926150000000001E-8</c:v>
                </c:pt>
                <c:pt idx="6">
                  <c:v>3.2189660000000003E-8</c:v>
                </c:pt>
                <c:pt idx="7">
                  <c:v>3.1531179999999997E-8</c:v>
                </c:pt>
                <c:pt idx="8">
                  <c:v>3.09376E-8</c:v>
                </c:pt>
                <c:pt idx="9">
                  <c:v>3.0399750000000001E-8</c:v>
                </c:pt>
                <c:pt idx="10">
                  <c:v>2.9910629999999997E-8</c:v>
                </c:pt>
                <c:pt idx="11">
                  <c:v>2.946465E-8</c:v>
                </c:pt>
                <c:pt idx="12">
                  <c:v>2.9057109999999999E-8</c:v>
                </c:pt>
                <c:pt idx="13">
                  <c:v>2.868408E-8</c:v>
                </c:pt>
                <c:pt idx="14">
                  <c:v>2.8342150000000001E-8</c:v>
                </c:pt>
                <c:pt idx="15">
                  <c:v>2.802835E-8</c:v>
                </c:pt>
                <c:pt idx="16">
                  <c:v>2.7740130000000001E-8</c:v>
                </c:pt>
                <c:pt idx="17">
                  <c:v>2.7475190000000001E-8</c:v>
                </c:pt>
                <c:pt idx="18">
                  <c:v>2.7294559999999999E-8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40-4463-AC2D-A07286BB0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979775"/>
        <c:axId val="86898025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VsigDC!$B$1</c15:sqref>
                        </c15:formulaRef>
                      </c:ext>
                    </c:extLst>
                    <c:strCache>
                      <c:ptCount val="1"/>
                      <c:pt idx="0">
                        <c:v>fH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VsigDC!$B$2:$B$22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348364.9</c:v>
                      </c:pt>
                      <c:pt idx="1">
                        <c:v>348172.5</c:v>
                      </c:pt>
                      <c:pt idx="2">
                        <c:v>353096.1</c:v>
                      </c:pt>
                      <c:pt idx="3">
                        <c:v>361014</c:v>
                      </c:pt>
                      <c:pt idx="4">
                        <c:v>370052.4</c:v>
                      </c:pt>
                      <c:pt idx="5">
                        <c:v>379315.3</c:v>
                      </c:pt>
                      <c:pt idx="6">
                        <c:v>388480.4</c:v>
                      </c:pt>
                      <c:pt idx="7">
                        <c:v>397504.5</c:v>
                      </c:pt>
                      <c:pt idx="8">
                        <c:v>404819.7</c:v>
                      </c:pt>
                      <c:pt idx="9">
                        <c:v>411385.1</c:v>
                      </c:pt>
                      <c:pt idx="10">
                        <c:v>417397.2</c:v>
                      </c:pt>
                      <c:pt idx="11">
                        <c:v>422911.3</c:v>
                      </c:pt>
                      <c:pt idx="12">
                        <c:v>427948.6</c:v>
                      </c:pt>
                      <c:pt idx="13">
                        <c:v>432627.8</c:v>
                      </c:pt>
                      <c:pt idx="14">
                        <c:v>436991.7</c:v>
                      </c:pt>
                      <c:pt idx="15">
                        <c:v>441077.6</c:v>
                      </c:pt>
                      <c:pt idx="16">
                        <c:v>444920.5</c:v>
                      </c:pt>
                      <c:pt idx="17">
                        <c:v>448509.4</c:v>
                      </c:pt>
                      <c:pt idx="18">
                        <c:v>125081.60000000001</c:v>
                      </c:pt>
                      <c:pt idx="19">
                        <c:v>276470.8</c:v>
                      </c:pt>
                      <c:pt idx="20">
                        <c:v>316925.2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0940-4463-AC2D-A07286BB001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VsigDC!$C$1</c15:sqref>
                        </c15:formulaRef>
                      </c:ext>
                    </c:extLst>
                    <c:strCache>
                      <c:ptCount val="1"/>
                      <c:pt idx="0">
                        <c:v>fL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VsigDC!$C$2:$C$22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197.43029999999999</c:v>
                      </c:pt>
                      <c:pt idx="1">
                        <c:v>197.53559999999999</c:v>
                      </c:pt>
                      <c:pt idx="2">
                        <c:v>197.626</c:v>
                      </c:pt>
                      <c:pt idx="3">
                        <c:v>197.697</c:v>
                      </c:pt>
                      <c:pt idx="4">
                        <c:v>197.77070000000001</c:v>
                      </c:pt>
                      <c:pt idx="5">
                        <c:v>197.86199999999999</c:v>
                      </c:pt>
                      <c:pt idx="6">
                        <c:v>197.97300000000001</c:v>
                      </c:pt>
                      <c:pt idx="7">
                        <c:v>198.08340000000001</c:v>
                      </c:pt>
                      <c:pt idx="8">
                        <c:v>198.21850000000001</c:v>
                      </c:pt>
                      <c:pt idx="9">
                        <c:v>198.34569999999999</c:v>
                      </c:pt>
                      <c:pt idx="10">
                        <c:v>198.4571</c:v>
                      </c:pt>
                      <c:pt idx="11">
                        <c:v>198.56909999999999</c:v>
                      </c:pt>
                      <c:pt idx="12">
                        <c:v>198.71010000000001</c:v>
                      </c:pt>
                      <c:pt idx="13">
                        <c:v>198.83869999999999</c:v>
                      </c:pt>
                      <c:pt idx="14">
                        <c:v>198.95830000000001</c:v>
                      </c:pt>
                      <c:pt idx="15">
                        <c:v>199.0729</c:v>
                      </c:pt>
                      <c:pt idx="16">
                        <c:v>199.18729999999999</c:v>
                      </c:pt>
                      <c:pt idx="17">
                        <c:v>199.30520000000001</c:v>
                      </c:pt>
                      <c:pt idx="18">
                        <c:v>164.34</c:v>
                      </c:pt>
                      <c:pt idx="19">
                        <c:v>25.566079999999999</c:v>
                      </c:pt>
                      <c:pt idx="20">
                        <c:v>25.4998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940-4463-AC2D-A07286BB001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VsigDC!$D$1</c15:sqref>
                        </c15:formulaRef>
                      </c:ext>
                    </c:extLst>
                    <c:strCache>
                      <c:ptCount val="1"/>
                      <c:pt idx="0">
                        <c:v>CMRR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VsigDC!$D$2:$D$22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30.6374642601</c:v>
                      </c:pt>
                      <c:pt idx="1">
                        <c:v>37.353039455000001</c:v>
                      </c:pt>
                      <c:pt idx="2">
                        <c:v>44.355832652399997</c:v>
                      </c:pt>
                      <c:pt idx="3">
                        <c:v>51.825588337900001</c:v>
                      </c:pt>
                      <c:pt idx="4">
                        <c:v>59.915451181500003</c:v>
                      </c:pt>
                      <c:pt idx="5">
                        <c:v>65.556352852800003</c:v>
                      </c:pt>
                      <c:pt idx="6">
                        <c:v>64.809308869600002</c:v>
                      </c:pt>
                      <c:pt idx="7">
                        <c:v>63.563416928800002</c:v>
                      </c:pt>
                      <c:pt idx="8">
                        <c:v>62.925765951899997</c:v>
                      </c:pt>
                      <c:pt idx="9">
                        <c:v>62.624396278600003</c:v>
                      </c:pt>
                      <c:pt idx="10">
                        <c:v>62.481570320199999</c:v>
                      </c:pt>
                      <c:pt idx="11">
                        <c:v>62.412075746600003</c:v>
                      </c:pt>
                      <c:pt idx="12">
                        <c:v>62.3763774082</c:v>
                      </c:pt>
                      <c:pt idx="13">
                        <c:v>62.356199853500001</c:v>
                      </c:pt>
                      <c:pt idx="14">
                        <c:v>62.3430967408</c:v>
                      </c:pt>
                      <c:pt idx="15">
                        <c:v>62.333166524299997</c:v>
                      </c:pt>
                      <c:pt idx="16">
                        <c:v>62.324610107300003</c:v>
                      </c:pt>
                      <c:pt idx="17">
                        <c:v>62.316600993500003</c:v>
                      </c:pt>
                      <c:pt idx="18">
                        <c:v>62.308762324900002</c:v>
                      </c:pt>
                      <c:pt idx="19">
                        <c:v>62.300924794300002</c:v>
                      </c:pt>
                      <c:pt idx="20">
                        <c:v>62.2930146056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940-4463-AC2D-A07286BB001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VsigDC!$E$1</c15:sqref>
                        </c15:formulaRef>
                      </c:ext>
                    </c:extLst>
                    <c:strCache>
                      <c:ptCount val="1"/>
                      <c:pt idx="0">
                        <c:v>PSRR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VsigDC!$E$2:$E$22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64.889513555700006</c:v>
                      </c:pt>
                      <c:pt idx="1">
                        <c:v>65.175181393900004</c:v>
                      </c:pt>
                      <c:pt idx="2">
                        <c:v>65.313470236000001</c:v>
                      </c:pt>
                      <c:pt idx="3">
                        <c:v>65.3782799823</c:v>
                      </c:pt>
                      <c:pt idx="4">
                        <c:v>65.409287116800002</c:v>
                      </c:pt>
                      <c:pt idx="5">
                        <c:v>65.425162542600006</c:v>
                      </c:pt>
                      <c:pt idx="6">
                        <c:v>65.434234847599996</c:v>
                      </c:pt>
                      <c:pt idx="7">
                        <c:v>65.440155932500005</c:v>
                      </c:pt>
                      <c:pt idx="8">
                        <c:v>65.444529711200005</c:v>
                      </c:pt>
                      <c:pt idx="9">
                        <c:v>65.448071562600006</c:v>
                      </c:pt>
                      <c:pt idx="10">
                        <c:v>65.451110657200005</c:v>
                      </c:pt>
                      <c:pt idx="11">
                        <c:v>65.453806690600004</c:v>
                      </c:pt>
                      <c:pt idx="12">
                        <c:v>65.456243627199996</c:v>
                      </c:pt>
                      <c:pt idx="13">
                        <c:v>65.458470526499994</c:v>
                      </c:pt>
                      <c:pt idx="14">
                        <c:v>65.460519532999996</c:v>
                      </c:pt>
                      <c:pt idx="15">
                        <c:v>65.462413957999999</c:v>
                      </c:pt>
                      <c:pt idx="16">
                        <c:v>65.4641720252</c:v>
                      </c:pt>
                      <c:pt idx="17">
                        <c:v>65.465808694100005</c:v>
                      </c:pt>
                      <c:pt idx="18">
                        <c:v>65.467336615199997</c:v>
                      </c:pt>
                      <c:pt idx="19">
                        <c:v>65.468766681000005</c:v>
                      </c:pt>
                      <c:pt idx="20">
                        <c:v>65.470108374399999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940-4463-AC2D-A07286BB001E}"/>
                  </c:ext>
                </c:extLst>
              </c15:ser>
            </c15:filteredScatterSeries>
          </c:ext>
        </c:extLst>
      </c:scatterChart>
      <c:valAx>
        <c:axId val="86897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80255"/>
        <c:crosses val="autoZero"/>
        <c:crossBetween val="midCat"/>
      </c:valAx>
      <c:valAx>
        <c:axId val="86898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79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5"/>
          <c:tx>
            <c:strRef>
              <c:f>VsigDC!$G$1</c:f>
              <c:strCache>
                <c:ptCount val="1"/>
                <c:pt idx="0">
                  <c:v>MOP @ 1kHz and 1% THD (W)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VsigDC!$A$2:$A$22</c:f>
              <c:numCache>
                <c:formatCode>General</c:formatCode>
                <c:ptCount val="21"/>
                <c:pt idx="0">
                  <c:v>-0.2</c:v>
                </c:pt>
                <c:pt idx="1">
                  <c:v>-0.18</c:v>
                </c:pt>
                <c:pt idx="2">
                  <c:v>-0.16</c:v>
                </c:pt>
                <c:pt idx="3">
                  <c:v>-0.14000000000000001</c:v>
                </c:pt>
                <c:pt idx="4">
                  <c:v>-0.12</c:v>
                </c:pt>
                <c:pt idx="5">
                  <c:v>-0.1</c:v>
                </c:pt>
                <c:pt idx="6">
                  <c:v>-0.08</c:v>
                </c:pt>
                <c:pt idx="7">
                  <c:v>-0.06</c:v>
                </c:pt>
                <c:pt idx="8">
                  <c:v>-0.04</c:v>
                </c:pt>
                <c:pt idx="9">
                  <c:v>-0.02</c:v>
                </c:pt>
                <c:pt idx="10">
                  <c:v>0</c:v>
                </c:pt>
                <c:pt idx="11">
                  <c:v>0.02</c:v>
                </c:pt>
                <c:pt idx="12">
                  <c:v>0.04</c:v>
                </c:pt>
                <c:pt idx="13">
                  <c:v>0.06</c:v>
                </c:pt>
                <c:pt idx="14">
                  <c:v>0.08</c:v>
                </c:pt>
                <c:pt idx="15">
                  <c:v>0.1</c:v>
                </c:pt>
                <c:pt idx="16">
                  <c:v>0.12</c:v>
                </c:pt>
                <c:pt idx="17">
                  <c:v>0.14000000000000001</c:v>
                </c:pt>
                <c:pt idx="18">
                  <c:v>0.16</c:v>
                </c:pt>
                <c:pt idx="19">
                  <c:v>0.18</c:v>
                </c:pt>
                <c:pt idx="20">
                  <c:v>0.2</c:v>
                </c:pt>
              </c:numCache>
            </c:numRef>
          </c:xVal>
          <c:yVal>
            <c:numRef>
              <c:f>VsigDC!$G$2:$G$22</c:f>
              <c:numCache>
                <c:formatCode>General</c:formatCode>
                <c:ptCount val="21"/>
                <c:pt idx="0">
                  <c:v>1.4E-3</c:v>
                </c:pt>
                <c:pt idx="1">
                  <c:v>5.4000000000000003E-3</c:v>
                </c:pt>
                <c:pt idx="2">
                  <c:v>2.1299999999999999E-2</c:v>
                </c:pt>
                <c:pt idx="3">
                  <c:v>6.2399999999999997E-2</c:v>
                </c:pt>
                <c:pt idx="4">
                  <c:v>0.1138</c:v>
                </c:pt>
                <c:pt idx="5">
                  <c:v>0.2324</c:v>
                </c:pt>
                <c:pt idx="6">
                  <c:v>0.35809999999999997</c:v>
                </c:pt>
                <c:pt idx="7">
                  <c:v>0.51090000000000002</c:v>
                </c:pt>
                <c:pt idx="8">
                  <c:v>0.68710000000000004</c:v>
                </c:pt>
                <c:pt idx="9">
                  <c:v>0.66220000000000001</c:v>
                </c:pt>
                <c:pt idx="10">
                  <c:v>0.51900000000000002</c:v>
                </c:pt>
                <c:pt idx="11">
                  <c:v>0.39019999999999999</c:v>
                </c:pt>
                <c:pt idx="12">
                  <c:v>0.2767</c:v>
                </c:pt>
                <c:pt idx="13">
                  <c:v>0.18429999999999999</c:v>
                </c:pt>
                <c:pt idx="14">
                  <c:v>0.112</c:v>
                </c:pt>
                <c:pt idx="15">
                  <c:v>5.6500000000000002E-2</c:v>
                </c:pt>
                <c:pt idx="16">
                  <c:v>1.9800000000000002E-2</c:v>
                </c:pt>
                <c:pt idx="17">
                  <c:v>1.9E-3</c:v>
                </c:pt>
                <c:pt idx="18">
                  <c:v>1E-4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D9-48FF-BC7B-2D1C9DE8A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847775"/>
        <c:axId val="166685257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VsigDC!$B$1</c15:sqref>
                        </c15:formulaRef>
                      </c:ext>
                    </c:extLst>
                    <c:strCache>
                      <c:ptCount val="1"/>
                      <c:pt idx="0">
                        <c:v>fH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VsigDC!$B$2:$B$22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348364.9</c:v>
                      </c:pt>
                      <c:pt idx="1">
                        <c:v>348172.5</c:v>
                      </c:pt>
                      <c:pt idx="2">
                        <c:v>353096.1</c:v>
                      </c:pt>
                      <c:pt idx="3">
                        <c:v>361014</c:v>
                      </c:pt>
                      <c:pt idx="4">
                        <c:v>370052.4</c:v>
                      </c:pt>
                      <c:pt idx="5">
                        <c:v>379315.3</c:v>
                      </c:pt>
                      <c:pt idx="6">
                        <c:v>388480.4</c:v>
                      </c:pt>
                      <c:pt idx="7">
                        <c:v>397504.5</c:v>
                      </c:pt>
                      <c:pt idx="8">
                        <c:v>404819.7</c:v>
                      </c:pt>
                      <c:pt idx="9">
                        <c:v>411385.1</c:v>
                      </c:pt>
                      <c:pt idx="10">
                        <c:v>417397.2</c:v>
                      </c:pt>
                      <c:pt idx="11">
                        <c:v>422911.3</c:v>
                      </c:pt>
                      <c:pt idx="12">
                        <c:v>427948.6</c:v>
                      </c:pt>
                      <c:pt idx="13">
                        <c:v>432627.8</c:v>
                      </c:pt>
                      <c:pt idx="14">
                        <c:v>436991.7</c:v>
                      </c:pt>
                      <c:pt idx="15">
                        <c:v>441077.6</c:v>
                      </c:pt>
                      <c:pt idx="16">
                        <c:v>444920.5</c:v>
                      </c:pt>
                      <c:pt idx="17">
                        <c:v>448509.4</c:v>
                      </c:pt>
                      <c:pt idx="18">
                        <c:v>125081.60000000001</c:v>
                      </c:pt>
                      <c:pt idx="19">
                        <c:v>276470.8</c:v>
                      </c:pt>
                      <c:pt idx="20">
                        <c:v>316925.2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5D9-48FF-BC7B-2D1C9DE8AD0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VsigDC!$C$1</c15:sqref>
                        </c15:formulaRef>
                      </c:ext>
                    </c:extLst>
                    <c:strCache>
                      <c:ptCount val="1"/>
                      <c:pt idx="0">
                        <c:v>fL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VsigDC!$C$2:$C$22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197.43029999999999</c:v>
                      </c:pt>
                      <c:pt idx="1">
                        <c:v>197.53559999999999</c:v>
                      </c:pt>
                      <c:pt idx="2">
                        <c:v>197.626</c:v>
                      </c:pt>
                      <c:pt idx="3">
                        <c:v>197.697</c:v>
                      </c:pt>
                      <c:pt idx="4">
                        <c:v>197.77070000000001</c:v>
                      </c:pt>
                      <c:pt idx="5">
                        <c:v>197.86199999999999</c:v>
                      </c:pt>
                      <c:pt idx="6">
                        <c:v>197.97300000000001</c:v>
                      </c:pt>
                      <c:pt idx="7">
                        <c:v>198.08340000000001</c:v>
                      </c:pt>
                      <c:pt idx="8">
                        <c:v>198.21850000000001</c:v>
                      </c:pt>
                      <c:pt idx="9">
                        <c:v>198.34569999999999</c:v>
                      </c:pt>
                      <c:pt idx="10">
                        <c:v>198.4571</c:v>
                      </c:pt>
                      <c:pt idx="11">
                        <c:v>198.56909999999999</c:v>
                      </c:pt>
                      <c:pt idx="12">
                        <c:v>198.71010000000001</c:v>
                      </c:pt>
                      <c:pt idx="13">
                        <c:v>198.83869999999999</c:v>
                      </c:pt>
                      <c:pt idx="14">
                        <c:v>198.95830000000001</c:v>
                      </c:pt>
                      <c:pt idx="15">
                        <c:v>199.0729</c:v>
                      </c:pt>
                      <c:pt idx="16">
                        <c:v>199.18729999999999</c:v>
                      </c:pt>
                      <c:pt idx="17">
                        <c:v>199.30520000000001</c:v>
                      </c:pt>
                      <c:pt idx="18">
                        <c:v>164.34</c:v>
                      </c:pt>
                      <c:pt idx="19">
                        <c:v>25.566079999999999</c:v>
                      </c:pt>
                      <c:pt idx="20">
                        <c:v>25.4998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5D9-48FF-BC7B-2D1C9DE8AD0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VsigDC!$D$1</c15:sqref>
                        </c15:formulaRef>
                      </c:ext>
                    </c:extLst>
                    <c:strCache>
                      <c:ptCount val="1"/>
                      <c:pt idx="0">
                        <c:v>CMRR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VsigDC!$D$2:$D$22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30.6374642601</c:v>
                      </c:pt>
                      <c:pt idx="1">
                        <c:v>37.353039455000001</c:v>
                      </c:pt>
                      <c:pt idx="2">
                        <c:v>44.355832652399997</c:v>
                      </c:pt>
                      <c:pt idx="3">
                        <c:v>51.825588337900001</c:v>
                      </c:pt>
                      <c:pt idx="4">
                        <c:v>59.915451181500003</c:v>
                      </c:pt>
                      <c:pt idx="5">
                        <c:v>65.556352852800003</c:v>
                      </c:pt>
                      <c:pt idx="6">
                        <c:v>64.809308869600002</c:v>
                      </c:pt>
                      <c:pt idx="7">
                        <c:v>63.563416928800002</c:v>
                      </c:pt>
                      <c:pt idx="8">
                        <c:v>62.925765951899997</c:v>
                      </c:pt>
                      <c:pt idx="9">
                        <c:v>62.624396278600003</c:v>
                      </c:pt>
                      <c:pt idx="10">
                        <c:v>62.481570320199999</c:v>
                      </c:pt>
                      <c:pt idx="11">
                        <c:v>62.412075746600003</c:v>
                      </c:pt>
                      <c:pt idx="12">
                        <c:v>62.3763774082</c:v>
                      </c:pt>
                      <c:pt idx="13">
                        <c:v>62.356199853500001</c:v>
                      </c:pt>
                      <c:pt idx="14">
                        <c:v>62.3430967408</c:v>
                      </c:pt>
                      <c:pt idx="15">
                        <c:v>62.333166524299997</c:v>
                      </c:pt>
                      <c:pt idx="16">
                        <c:v>62.324610107300003</c:v>
                      </c:pt>
                      <c:pt idx="17">
                        <c:v>62.316600993500003</c:v>
                      </c:pt>
                      <c:pt idx="18">
                        <c:v>62.308762324900002</c:v>
                      </c:pt>
                      <c:pt idx="19">
                        <c:v>62.300924794300002</c:v>
                      </c:pt>
                      <c:pt idx="20">
                        <c:v>62.2930146056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5D9-48FF-BC7B-2D1C9DE8AD0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VsigDC!$E$1</c15:sqref>
                        </c15:formulaRef>
                      </c:ext>
                    </c:extLst>
                    <c:strCache>
                      <c:ptCount val="1"/>
                      <c:pt idx="0">
                        <c:v>PSRR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VsigDC!$E$2:$E$22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64.889513555700006</c:v>
                      </c:pt>
                      <c:pt idx="1">
                        <c:v>65.175181393900004</c:v>
                      </c:pt>
                      <c:pt idx="2">
                        <c:v>65.313470236000001</c:v>
                      </c:pt>
                      <c:pt idx="3">
                        <c:v>65.3782799823</c:v>
                      </c:pt>
                      <c:pt idx="4">
                        <c:v>65.409287116800002</c:v>
                      </c:pt>
                      <c:pt idx="5">
                        <c:v>65.425162542600006</c:v>
                      </c:pt>
                      <c:pt idx="6">
                        <c:v>65.434234847599996</c:v>
                      </c:pt>
                      <c:pt idx="7">
                        <c:v>65.440155932500005</c:v>
                      </c:pt>
                      <c:pt idx="8">
                        <c:v>65.444529711200005</c:v>
                      </c:pt>
                      <c:pt idx="9">
                        <c:v>65.448071562600006</c:v>
                      </c:pt>
                      <c:pt idx="10">
                        <c:v>65.451110657200005</c:v>
                      </c:pt>
                      <c:pt idx="11">
                        <c:v>65.453806690600004</c:v>
                      </c:pt>
                      <c:pt idx="12">
                        <c:v>65.456243627199996</c:v>
                      </c:pt>
                      <c:pt idx="13">
                        <c:v>65.458470526499994</c:v>
                      </c:pt>
                      <c:pt idx="14">
                        <c:v>65.460519532999996</c:v>
                      </c:pt>
                      <c:pt idx="15">
                        <c:v>65.462413957999999</c:v>
                      </c:pt>
                      <c:pt idx="16">
                        <c:v>65.4641720252</c:v>
                      </c:pt>
                      <c:pt idx="17">
                        <c:v>65.465808694100005</c:v>
                      </c:pt>
                      <c:pt idx="18">
                        <c:v>65.467336615199997</c:v>
                      </c:pt>
                      <c:pt idx="19">
                        <c:v>65.468766681000005</c:v>
                      </c:pt>
                      <c:pt idx="20">
                        <c:v>65.470108374399999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5D9-48FF-BC7B-2D1C9DE8AD0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VsigDC!$F$1</c15:sqref>
                        </c15:formulaRef>
                      </c:ext>
                    </c:extLst>
                    <c:strCache>
                      <c:ptCount val="1"/>
                      <c:pt idx="0">
                        <c:v>IRN (V/Hz1/2)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-0.2</c:v>
                      </c:pt>
                      <c:pt idx="1">
                        <c:v>-0.18</c:v>
                      </c:pt>
                      <c:pt idx="2">
                        <c:v>-0.16</c:v>
                      </c:pt>
                      <c:pt idx="3">
                        <c:v>-0.14000000000000001</c:v>
                      </c:pt>
                      <c:pt idx="4">
                        <c:v>-0.12</c:v>
                      </c:pt>
                      <c:pt idx="5">
                        <c:v>-0.1</c:v>
                      </c:pt>
                      <c:pt idx="6">
                        <c:v>-0.08</c:v>
                      </c:pt>
                      <c:pt idx="7">
                        <c:v>-0.06</c:v>
                      </c:pt>
                      <c:pt idx="8">
                        <c:v>-0.04</c:v>
                      </c:pt>
                      <c:pt idx="9">
                        <c:v>-0.02</c:v>
                      </c:pt>
                      <c:pt idx="10">
                        <c:v>0</c:v>
                      </c:pt>
                      <c:pt idx="11">
                        <c:v>0.02</c:v>
                      </c:pt>
                      <c:pt idx="12">
                        <c:v>0.04</c:v>
                      </c:pt>
                      <c:pt idx="13">
                        <c:v>0.06</c:v>
                      </c:pt>
                      <c:pt idx="14">
                        <c:v>0.08</c:v>
                      </c:pt>
                      <c:pt idx="15">
                        <c:v>0.1</c:v>
                      </c:pt>
                      <c:pt idx="16">
                        <c:v>0.12</c:v>
                      </c:pt>
                      <c:pt idx="17">
                        <c:v>0.14000000000000001</c:v>
                      </c:pt>
                      <c:pt idx="18">
                        <c:v>0.16</c:v>
                      </c:pt>
                      <c:pt idx="19">
                        <c:v>0.18</c:v>
                      </c:pt>
                      <c:pt idx="20">
                        <c:v>0.2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VsigDC!$F$2:$F$22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3.9576100000000002E-8</c:v>
                      </c:pt>
                      <c:pt idx="1">
                        <c:v>3.744599E-8</c:v>
                      </c:pt>
                      <c:pt idx="2">
                        <c:v>3.5913889999999998E-8</c:v>
                      </c:pt>
                      <c:pt idx="3">
                        <c:v>3.4733160000000002E-8</c:v>
                      </c:pt>
                      <c:pt idx="4">
                        <c:v>3.3761529999999997E-8</c:v>
                      </c:pt>
                      <c:pt idx="5">
                        <c:v>3.2926150000000001E-8</c:v>
                      </c:pt>
                      <c:pt idx="6">
                        <c:v>3.2189660000000003E-8</c:v>
                      </c:pt>
                      <c:pt idx="7">
                        <c:v>3.1531179999999997E-8</c:v>
                      </c:pt>
                      <c:pt idx="8">
                        <c:v>3.09376E-8</c:v>
                      </c:pt>
                      <c:pt idx="9">
                        <c:v>3.0399750000000001E-8</c:v>
                      </c:pt>
                      <c:pt idx="10">
                        <c:v>2.9910629999999997E-8</c:v>
                      </c:pt>
                      <c:pt idx="11">
                        <c:v>2.946465E-8</c:v>
                      </c:pt>
                      <c:pt idx="12">
                        <c:v>2.9057109999999999E-8</c:v>
                      </c:pt>
                      <c:pt idx="13">
                        <c:v>2.868408E-8</c:v>
                      </c:pt>
                      <c:pt idx="14">
                        <c:v>2.8342150000000001E-8</c:v>
                      </c:pt>
                      <c:pt idx="15">
                        <c:v>2.802835E-8</c:v>
                      </c:pt>
                      <c:pt idx="16">
                        <c:v>2.7740130000000001E-8</c:v>
                      </c:pt>
                      <c:pt idx="17">
                        <c:v>2.7475190000000001E-8</c:v>
                      </c:pt>
                      <c:pt idx="18">
                        <c:v>2.7294559999999999E-8</c:v>
                      </c:pt>
                      <c:pt idx="19">
                        <c:v>8.3899650000000004E-7</c:v>
                      </c:pt>
                      <c:pt idx="20">
                        <c:v>8.3985999999999995E-7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5D9-48FF-BC7B-2D1C9DE8AD06}"/>
                  </c:ext>
                </c:extLst>
              </c15:ser>
            </c15:filteredScatterSeries>
          </c:ext>
        </c:extLst>
      </c:scatterChart>
      <c:valAx>
        <c:axId val="166684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852575"/>
        <c:crosses val="autoZero"/>
        <c:crossBetween val="midCat"/>
      </c:valAx>
      <c:valAx>
        <c:axId val="166685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8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'Rl'!$B$1</c:f>
              <c:strCache>
                <c:ptCount val="1"/>
                <c:pt idx="0">
                  <c:v>fH (Hz)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'Rl'!$A$2:$A$4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xVal>
          <c:yVal>
            <c:numRef>
              <c:f>'Rl'!$B$2:$B$4</c:f>
              <c:numCache>
                <c:formatCode>0</c:formatCode>
                <c:ptCount val="3"/>
                <c:pt idx="0">
                  <c:v>361337</c:v>
                </c:pt>
                <c:pt idx="1">
                  <c:v>417397.2</c:v>
                </c:pt>
                <c:pt idx="2">
                  <c:v>450653.2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B2-4DF9-9B0E-AC108CD79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005695"/>
        <c:axId val="86900617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'Rl'!$C$1</c15:sqref>
                        </c15:formulaRef>
                      </c:ext>
                    </c:extLst>
                    <c:strCache>
                      <c:ptCount val="1"/>
                      <c:pt idx="0">
                        <c:v>fL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'Rl'!$C$2:$C$4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395.81819999999999</c:v>
                      </c:pt>
                      <c:pt idx="1">
                        <c:v>198.4571</c:v>
                      </c:pt>
                      <c:pt idx="2">
                        <c:v>99.333100000000002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62B2-4DF9-9B0E-AC108CD79B9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'Rl'!$D$1</c15:sqref>
                        </c15:formulaRef>
                      </c:ext>
                    </c:extLst>
                    <c:strCache>
                      <c:ptCount val="1"/>
                      <c:pt idx="0">
                        <c:v>CMRR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'Rl'!$D$2:$D$4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62.48</c:v>
                      </c:pt>
                      <c:pt idx="1">
                        <c:v>62.48</c:v>
                      </c:pt>
                      <c:pt idx="2">
                        <c:v>62.48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B2-4DF9-9B0E-AC108CD79B9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'Rl'!$E$1</c15:sqref>
                        </c15:formulaRef>
                      </c:ext>
                    </c:extLst>
                    <c:strCache>
                      <c:ptCount val="1"/>
                      <c:pt idx="0">
                        <c:v>PSRR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'Rl'!$E$2:$E$4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65.45</c:v>
                      </c:pt>
                      <c:pt idx="1">
                        <c:v>65.45</c:v>
                      </c:pt>
                      <c:pt idx="2">
                        <c:v>65.45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B2-4DF9-9B0E-AC108CD79B9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'Rl'!$F$1</c15:sqref>
                        </c15:formulaRef>
                      </c:ext>
                    </c:extLst>
                    <c:strCache>
                      <c:ptCount val="1"/>
                      <c:pt idx="0">
                        <c:v>IRN (V/Hz1/2)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'Rl'!$F$2:$F$4</c15:sqref>
                        </c15:formulaRef>
                      </c:ext>
                    </c:extLst>
                    <c:numCache>
                      <c:formatCode>0.00E+00</c:formatCode>
                      <c:ptCount val="3"/>
                      <c:pt idx="0">
                        <c:v>2.9910637522299999E-8</c:v>
                      </c:pt>
                      <c:pt idx="1">
                        <c:v>2.9910633969599999E-8</c:v>
                      </c:pt>
                      <c:pt idx="2">
                        <c:v>2.9910633969599999E-8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B2-4DF9-9B0E-AC108CD79B9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'Rl'!$G$1</c15:sqref>
                        </c15:formulaRef>
                      </c:ext>
                    </c:extLst>
                    <c:strCache>
                      <c:ptCount val="1"/>
                      <c:pt idx="0">
                        <c:v>MOP @ 1kHz and 1% THD (W)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'Rl'!$G$2:$G$4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0.82489999999999997</c:v>
                      </c:pt>
                      <c:pt idx="1">
                        <c:v>0.51839999999999997</c:v>
                      </c:pt>
                      <c:pt idx="2">
                        <c:v>0.2843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907-4A18-91BC-67625B82A8D9}"/>
                  </c:ext>
                </c:extLst>
              </c15:ser>
            </c15:filteredScatterSeries>
          </c:ext>
        </c:extLst>
      </c:scatterChart>
      <c:valAx>
        <c:axId val="86900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06175"/>
        <c:crosses val="autoZero"/>
        <c:crossBetween val="midCat"/>
      </c:valAx>
      <c:valAx>
        <c:axId val="86900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05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'Rl'!$C$1</c:f>
              <c:strCache>
                <c:ptCount val="1"/>
                <c:pt idx="0">
                  <c:v>fL (Hz)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'Rl'!$A$2:$A$4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xVal>
          <c:yVal>
            <c:numRef>
              <c:f>'Rl'!$C$2:$C$4</c:f>
              <c:numCache>
                <c:formatCode>0</c:formatCode>
                <c:ptCount val="3"/>
                <c:pt idx="0">
                  <c:v>395.81819999999999</c:v>
                </c:pt>
                <c:pt idx="1">
                  <c:v>198.4571</c:v>
                </c:pt>
                <c:pt idx="2">
                  <c:v>99.333100000000002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A1-4C8A-B585-CE601A53D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075295"/>
        <c:axId val="8690724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'Rl'!$B$1</c15:sqref>
                        </c15:formulaRef>
                      </c:ext>
                    </c:extLst>
                    <c:strCache>
                      <c:ptCount val="1"/>
                      <c:pt idx="0">
                        <c:v>fH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'Rl'!$B$2:$B$4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361337</c:v>
                      </c:pt>
                      <c:pt idx="1">
                        <c:v>417397.2</c:v>
                      </c:pt>
                      <c:pt idx="2">
                        <c:v>450653.2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F1A1-4C8A-B585-CE601A53D5E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'Rl'!$D$1</c15:sqref>
                        </c15:formulaRef>
                      </c:ext>
                    </c:extLst>
                    <c:strCache>
                      <c:ptCount val="1"/>
                      <c:pt idx="0">
                        <c:v>CMRR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'Rl'!$D$2:$D$4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62.48</c:v>
                      </c:pt>
                      <c:pt idx="1">
                        <c:v>62.48</c:v>
                      </c:pt>
                      <c:pt idx="2">
                        <c:v>62.48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1A1-4C8A-B585-CE601A53D5E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'Rl'!$E$1</c15:sqref>
                        </c15:formulaRef>
                      </c:ext>
                    </c:extLst>
                    <c:strCache>
                      <c:ptCount val="1"/>
                      <c:pt idx="0">
                        <c:v>PSRR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'Rl'!$E$2:$E$4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65.45</c:v>
                      </c:pt>
                      <c:pt idx="1">
                        <c:v>65.45</c:v>
                      </c:pt>
                      <c:pt idx="2">
                        <c:v>65.45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1A1-4C8A-B585-CE601A53D5E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'Rl'!$F$1</c15:sqref>
                        </c15:formulaRef>
                      </c:ext>
                    </c:extLst>
                    <c:strCache>
                      <c:ptCount val="1"/>
                      <c:pt idx="0">
                        <c:v>IRN (V/Hz1/2)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'Rl'!$F$2:$F$4</c15:sqref>
                        </c15:formulaRef>
                      </c:ext>
                    </c:extLst>
                    <c:numCache>
                      <c:formatCode>0.00E+00</c:formatCode>
                      <c:ptCount val="3"/>
                      <c:pt idx="0">
                        <c:v>2.9910637522299999E-8</c:v>
                      </c:pt>
                      <c:pt idx="1">
                        <c:v>2.9910633969599999E-8</c:v>
                      </c:pt>
                      <c:pt idx="2">
                        <c:v>2.9910633969599999E-8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1A1-4C8A-B585-CE601A53D5E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'Rl'!$G$1</c15:sqref>
                        </c15:formulaRef>
                      </c:ext>
                    </c:extLst>
                    <c:strCache>
                      <c:ptCount val="1"/>
                      <c:pt idx="0">
                        <c:v>MOP @ 1kHz and 1% THD (W)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'Rl'!$G$2:$G$4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0.82489999999999997</c:v>
                      </c:pt>
                      <c:pt idx="1">
                        <c:v>0.51839999999999997</c:v>
                      </c:pt>
                      <c:pt idx="2">
                        <c:v>0.2843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96A-4E90-844A-E2A5BA2119D2}"/>
                  </c:ext>
                </c:extLst>
              </c15:ser>
            </c15:filteredScatterSeries>
          </c:ext>
        </c:extLst>
      </c:scatterChart>
      <c:valAx>
        <c:axId val="86907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72415"/>
        <c:crosses val="autoZero"/>
        <c:crossBetween val="midCat"/>
      </c:valAx>
      <c:valAx>
        <c:axId val="86907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75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5"/>
          <c:tx>
            <c:strRef>
              <c:f>'Rl'!$G$1</c:f>
              <c:strCache>
                <c:ptCount val="1"/>
                <c:pt idx="0">
                  <c:v>MOP @ 1kHz and 1% THD (W)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'Rl'!$A$2:$A$4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xVal>
          <c:yVal>
            <c:numRef>
              <c:f>'Rl'!$G$2:$G$4</c:f>
              <c:numCache>
                <c:formatCode>General</c:formatCode>
                <c:ptCount val="3"/>
                <c:pt idx="0">
                  <c:v>0.82489999999999997</c:v>
                </c:pt>
                <c:pt idx="1">
                  <c:v>0.51839999999999997</c:v>
                </c:pt>
                <c:pt idx="2">
                  <c:v>0.2843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81-4B7D-B97D-B7BC20B7C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71007"/>
        <c:axId val="142898780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'Rl'!$B$1</c15:sqref>
                        </c15:formulaRef>
                      </c:ext>
                    </c:extLst>
                    <c:strCache>
                      <c:ptCount val="1"/>
                      <c:pt idx="0">
                        <c:v>fH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'Rl'!$B$2:$B$4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361337</c:v>
                      </c:pt>
                      <c:pt idx="1">
                        <c:v>417397.2</c:v>
                      </c:pt>
                      <c:pt idx="2">
                        <c:v>450653.2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981-4B7D-B97D-B7BC20B7C08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'Rl'!$C$1</c15:sqref>
                        </c15:formulaRef>
                      </c:ext>
                    </c:extLst>
                    <c:strCache>
                      <c:ptCount val="1"/>
                      <c:pt idx="0">
                        <c:v>fL (Hz)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'Rl'!$C$2:$C$4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395.81819999999999</c:v>
                      </c:pt>
                      <c:pt idx="1">
                        <c:v>198.4571</c:v>
                      </c:pt>
                      <c:pt idx="2">
                        <c:v>99.333100000000002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981-4B7D-B97D-B7BC20B7C08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'Rl'!$D$1</c15:sqref>
                        </c15:formulaRef>
                      </c:ext>
                    </c:extLst>
                    <c:strCache>
                      <c:ptCount val="1"/>
                      <c:pt idx="0">
                        <c:v>CMRR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'Rl'!$D$2:$D$4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62.48</c:v>
                      </c:pt>
                      <c:pt idx="1">
                        <c:v>62.48</c:v>
                      </c:pt>
                      <c:pt idx="2">
                        <c:v>62.48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981-4B7D-B97D-B7BC20B7C08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'Rl'!$E$1</c15:sqref>
                        </c15:formulaRef>
                      </c:ext>
                    </c:extLst>
                    <c:strCache>
                      <c:ptCount val="1"/>
                      <c:pt idx="0">
                        <c:v>PSRR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'Rl'!$E$2:$E$4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65.45</c:v>
                      </c:pt>
                      <c:pt idx="1">
                        <c:v>65.45</c:v>
                      </c:pt>
                      <c:pt idx="2">
                        <c:v>65.45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981-4B7D-B97D-B7BC20B7C08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'Rl'!$F$1</c15:sqref>
                        </c15:formulaRef>
                      </c:ext>
                    </c:extLst>
                    <c:strCache>
                      <c:ptCount val="1"/>
                      <c:pt idx="0">
                        <c:v>IRN (V/Hz1/2)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8</c:v>
                      </c:pt>
                      <c:pt idx="2">
                        <c:v>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'Rl'!$F$2:$F$4</c15:sqref>
                        </c15:formulaRef>
                      </c:ext>
                    </c:extLst>
                    <c:numCache>
                      <c:formatCode>0.00E+00</c:formatCode>
                      <c:ptCount val="3"/>
                      <c:pt idx="0">
                        <c:v>2.9910637522299999E-8</c:v>
                      </c:pt>
                      <c:pt idx="1">
                        <c:v>2.9910633969599999E-8</c:v>
                      </c:pt>
                      <c:pt idx="2">
                        <c:v>2.9910633969599999E-8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981-4B7D-B97D-B7BC20B7C084}"/>
                  </c:ext>
                </c:extLst>
              </c15:ser>
            </c15:filteredScatterSeries>
          </c:ext>
        </c:extLst>
      </c:scatterChart>
      <c:valAx>
        <c:axId val="142897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987807"/>
        <c:crosses val="autoZero"/>
        <c:crossBetween val="midCat"/>
      </c:valAx>
      <c:valAx>
        <c:axId val="142898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971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Rpot!$B$1</c:f>
              <c:strCache>
                <c:ptCount val="1"/>
                <c:pt idx="0">
                  <c:v>IRN (V/Hz1/2)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Rpot!$A$2:$A$26</c:f>
              <c:numCache>
                <c:formatCode>General</c:formatCode>
                <c:ptCount val="25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</c:numCache>
            </c:numRef>
          </c:xVal>
          <c:yVal>
            <c:numRef>
              <c:f>Rpot!$B$2:$B$26</c:f>
              <c:numCache>
                <c:formatCode>0.00E+00</c:formatCode>
                <c:ptCount val="25"/>
                <c:pt idx="0">
                  <c:v>2.9910629999999997E-8</c:v>
                </c:pt>
                <c:pt idx="1">
                  <c:v>2.956392E-8</c:v>
                </c:pt>
                <c:pt idx="2">
                  <c:v>2.9459879999999999E-8</c:v>
                </c:pt>
                <c:pt idx="3">
                  <c:v>2.9416510000000001E-8</c:v>
                </c:pt>
                <c:pt idx="4">
                  <c:v>2.939741E-8</c:v>
                </c:pt>
                <c:pt idx="5">
                  <c:v>2.9390450000000002E-8</c:v>
                </c:pt>
                <c:pt idx="6">
                  <c:v>2.9390409999999999E-8</c:v>
                </c:pt>
                <c:pt idx="7">
                  <c:v>2.939471E-8</c:v>
                </c:pt>
                <c:pt idx="8">
                  <c:v>2.9401899999999999E-8</c:v>
                </c:pt>
                <c:pt idx="9">
                  <c:v>2.941111E-8</c:v>
                </c:pt>
                <c:pt idx="10">
                  <c:v>2.942178E-8</c:v>
                </c:pt>
                <c:pt idx="11">
                  <c:v>2.9433559999999999E-8</c:v>
                </c:pt>
                <c:pt idx="12">
                  <c:v>2.9446189999999999E-8</c:v>
                </c:pt>
                <c:pt idx="13">
                  <c:v>2.945948E-8</c:v>
                </c:pt>
                <c:pt idx="14">
                  <c:v>2.9473310000000001E-8</c:v>
                </c:pt>
                <c:pt idx="15">
                  <c:v>2.9487570000000001E-8</c:v>
                </c:pt>
                <c:pt idx="16">
                  <c:v>2.950218E-8</c:v>
                </c:pt>
                <c:pt idx="17">
                  <c:v>2.9517090000000001E-8</c:v>
                </c:pt>
                <c:pt idx="18">
                  <c:v>2.953225E-8</c:v>
                </c:pt>
                <c:pt idx="19">
                  <c:v>2.9547619999999999E-8</c:v>
                </c:pt>
                <c:pt idx="20">
                  <c:v>2.9563169999999999E-8</c:v>
                </c:pt>
                <c:pt idx="21">
                  <c:v>2.9578880000000001E-8</c:v>
                </c:pt>
                <c:pt idx="22">
                  <c:v>2.9594720000000001E-8</c:v>
                </c:pt>
                <c:pt idx="23">
                  <c:v>2.961069E-8</c:v>
                </c:pt>
                <c:pt idx="24">
                  <c:v>2.9626750000000001E-8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35-4BA1-AC76-846B2F707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054175"/>
        <c:axId val="869064735"/>
      </c:scatterChart>
      <c:valAx>
        <c:axId val="86905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64735"/>
        <c:crosses val="autoZero"/>
        <c:crossBetween val="midCat"/>
      </c:valAx>
      <c:valAx>
        <c:axId val="8690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54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262730</xdr:colOff>
      <xdr:row>10</xdr:row>
      <xdr:rowOff>63500</xdr:rowOff>
    </xdr:from>
    <xdr:to>
      <xdr:col>10</xdr:col>
      <xdr:colOff>300830</xdr:colOff>
      <xdr:row>25</xdr:row>
      <xdr:rowOff>88899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4905D-4317-3872-92FE-421C0A1C7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159542</xdr:colOff>
      <xdr:row>2</xdr:row>
      <xdr:rowOff>0</xdr:rowOff>
    </xdr:from>
    <xdr:to>
      <xdr:col>15</xdr:col>
      <xdr:colOff>197642</xdr:colOff>
      <xdr:row>17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D3E7EA-CB81-6733-BB4A-6919D9285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588168</xdr:colOff>
      <xdr:row>1</xdr:row>
      <xdr:rowOff>71437</xdr:rowOff>
    </xdr:from>
    <xdr:to>
      <xdr:col>15</xdr:col>
      <xdr:colOff>626268</xdr:colOff>
      <xdr:row>16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198262-6732-BF4D-8EFA-A6A1C11FB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645318</xdr:colOff>
      <xdr:row>16</xdr:row>
      <xdr:rowOff>171450</xdr:rowOff>
    </xdr:from>
    <xdr:to>
      <xdr:col>16</xdr:col>
      <xdr:colOff>35718</xdr:colOff>
      <xdr:row>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D262E9-F741-D774-93A9-E7ABC355D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337797</xdr:colOff>
      <xdr:row>0</xdr:row>
      <xdr:rowOff>110217</xdr:rowOff>
    </xdr:from>
    <xdr:to>
      <xdr:col>15</xdr:col>
      <xdr:colOff>375897</xdr:colOff>
      <xdr:row>15</xdr:row>
      <xdr:rowOff>141513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89A10-3C9E-63D1-842A-3DEEA8FBF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309221</xdr:colOff>
      <xdr:row>16</xdr:row>
      <xdr:rowOff>14287</xdr:rowOff>
    </xdr:from>
    <xdr:to>
      <xdr:col>15</xdr:col>
      <xdr:colOff>347321</xdr:colOff>
      <xdr:row>31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0A79C0-A10C-34E4-6110-0297A2007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606336</xdr:colOff>
      <xdr:row>0</xdr:row>
      <xdr:rowOff>116907</xdr:rowOff>
    </xdr:from>
    <xdr:to>
      <xdr:col>22</xdr:col>
      <xdr:colOff>637568</xdr:colOff>
      <xdr:row>15</xdr:row>
      <xdr:rowOff>105889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1894B6-5455-A841-A94C-042B71264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541357</xdr:colOff>
      <xdr:row>16</xdr:row>
      <xdr:rowOff>20979</xdr:rowOff>
    </xdr:from>
    <xdr:to>
      <xdr:col>22</xdr:col>
      <xdr:colOff>598025</xdr:colOff>
      <xdr:row>31</xdr:row>
      <xdr:rowOff>51363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79B4751-0B70-D075-5D7E-FEADE8B1E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432846</xdr:colOff>
      <xdr:row>1</xdr:row>
      <xdr:rowOff>8922</xdr:rowOff>
    </xdr:from>
    <xdr:to>
      <xdr:col>14</xdr:col>
      <xdr:colOff>489514</xdr:colOff>
      <xdr:row>16</xdr:row>
      <xdr:rowOff>39305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872395-3062-4B21-A17E-C74A4E33B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397880</xdr:colOff>
      <xdr:row>17</xdr:row>
      <xdr:rowOff>147577</xdr:rowOff>
    </xdr:from>
    <xdr:to>
      <xdr:col>14</xdr:col>
      <xdr:colOff>573910</xdr:colOff>
      <xdr:row>32</xdr:row>
      <xdr:rowOff>177960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69CA99-A79A-1AFD-EC24-920230F62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583556</xdr:colOff>
      <xdr:row>0</xdr:row>
      <xdr:rowOff>171692</xdr:rowOff>
    </xdr:from>
    <xdr:to>
      <xdr:col>21</xdr:col>
      <xdr:colOff>640223</xdr:colOff>
      <xdr:row>16</xdr:row>
      <xdr:rowOff>21221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400189-C092-A59F-107D-CF6AE011C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22907</xdr:colOff>
      <xdr:row>18</xdr:row>
      <xdr:rowOff>51122</xdr:rowOff>
    </xdr:from>
    <xdr:to>
      <xdr:col>22</xdr:col>
      <xdr:colOff>79574</xdr:colOff>
      <xdr:row>33</xdr:row>
      <xdr:rowOff>81506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A932F0-3032-DB24-6DA9-EF3F60764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125391</xdr:colOff>
      <xdr:row>1</xdr:row>
      <xdr:rowOff>33037</xdr:rowOff>
    </xdr:from>
    <xdr:to>
      <xdr:col>29</xdr:col>
      <xdr:colOff>182060</xdr:colOff>
      <xdr:row>16</xdr:row>
      <xdr:rowOff>63420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B9E06-F5B7-71C1-7901-A518C2FA9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161924</xdr:colOff>
      <xdr:row>0</xdr:row>
      <xdr:rowOff>119062</xdr:rowOff>
    </xdr:from>
    <xdr:to>
      <xdr:col>14</xdr:col>
      <xdr:colOff>554829</xdr:colOff>
      <xdr:row>15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1DE670-1510-D7E3-AAFF-AA3256B33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171450</xdr:colOff>
      <xdr:row>16</xdr:row>
      <xdr:rowOff>76200</xdr:rowOff>
    </xdr:from>
    <xdr:to>
      <xdr:col>14</xdr:col>
      <xdr:colOff>569118</xdr:colOff>
      <xdr:row>31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D4E5D3-891F-F02E-C87E-5F31C9DB4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642054</xdr:colOff>
      <xdr:row>0</xdr:row>
      <xdr:rowOff>180621</xdr:rowOff>
    </xdr:from>
    <xdr:to>
      <xdr:col>22</xdr:col>
      <xdr:colOff>39980</xdr:colOff>
      <xdr:row>16</xdr:row>
      <xdr:rowOff>7525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1E05F1-6E91-B551-D5F5-CA6B0C9F6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254792</xdr:colOff>
      <xdr:row>2</xdr:row>
      <xdr:rowOff>133350</xdr:rowOff>
    </xdr:from>
    <xdr:to>
      <xdr:col>10</xdr:col>
      <xdr:colOff>292892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B408D-16A8-CC6A-85A2-522AF6ACB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FFBD9EE-B00A-4710-A681-54271DF2836F}" autoFormatId="16" applyNumberFormats="0" applyBorderFormats="0" applyFontFormats="0" applyPatternFormats="0" applyAlignmentFormats="0" applyWidthHeightFormats="0">
  <queryTableRefresh nextId="8" unboundColumnsRight="4">
    <queryTableFields count="7">
      <queryTableField id="1" name="cbyp" tableColumnId="1"/>
      <queryTableField id="2" name="fh" tableColumnId="2"/>
      <queryTableField id="3" name="fl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17E783E-4234-4DE7-BEA5-C32F9B1AC2B1}" autoFormatId="16" applyNumberFormats="0" applyBorderFormats="0" applyFontFormats="0" applyPatternFormats="0" applyAlignmentFormats="0" applyWidthHeightFormats="0">
  <queryTableRefresh nextId="8" unboundColumnsRight="4">
    <queryTableFields count="7">
      <queryTableField id="1" name="cb" tableColumnId="1"/>
      <queryTableField id="2" name="fh" tableColumnId="2"/>
      <queryTableField id="3" name="fl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4DADBDA-DE03-4F24-9DF1-BE2C3B6031B2}" autoFormatId="16" applyNumberFormats="0" applyBorderFormats="0" applyFontFormats="0" applyPatternFormats="0" applyAlignmentFormats="0" applyWidthHeightFormats="0">
  <queryTableRefresh nextId="8" unboundColumnsRight="4">
    <queryTableFields count="7">
      <queryTableField id="1" name="vs" tableColumnId="1"/>
      <queryTableField id="2" name="fh" tableColumnId="2"/>
      <queryTableField id="3" name="fl" tableColumnId="3"/>
      <queryTableField id="4" dataBound="0" tableColumnId="4"/>
      <queryTableField id="5" dataBound="0" tableColumnId="5"/>
      <queryTableField id="6" dataBound="0" tableColumnId="6"/>
      <queryTableField id="7" dataBound="0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03BB1E3A-2920-4E77-B005-F10B193E5C59}" autoFormatId="16" applyNumberFormats="0" applyBorderFormats="0" applyFontFormats="0" applyPatternFormats="0" applyAlignmentFormats="0" applyWidthHeightFormats="0">
  <queryTableRefresh nextId="8" unboundColumnsRight="4">
    <queryTableFields count="7">
      <queryTableField id="1" name="vsigdc" tableColumnId="1"/>
      <queryTableField id="2" name="fh" tableColumnId="2"/>
      <queryTableField id="3" name="fl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EA4FDAF-B017-4B56-8238-BFC4DD9374B0}" autoFormatId="16" applyNumberFormats="0" applyBorderFormats="0" applyFontFormats="0" applyPatternFormats="0" applyAlignmentFormats="0" applyWidthHeightFormats="0">
  <queryTableRefresh nextId="8" unboundColumnsRight="4">
    <queryTableFields count="7">
      <queryTableField id="1" name="rl" tableColumnId="1"/>
      <queryTableField id="2" name="fh" tableColumnId="2"/>
      <queryTableField id="3" name="fl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F3BCDABF-863C-48D6-BE0F-83DDF616C3D0}" autoFormatId="16" applyNumberFormats="0" applyBorderFormats="0" applyFontFormats="0" applyPatternFormats="0" applyAlignmentFormats="0" applyWidthHeightFormats="0">
  <queryTableRefresh nextId="3">
    <queryTableFields count="2">
      <queryTableField id="1" name="rpot" tableColumnId="1"/>
      <queryTableField id="2" name="ir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03C30E-1AB6-442F-A4EA-E5DA5D24E90F}" name="Cbyp" displayName="Cbyp" ref="A1:G11" tableType="queryTable" totalsRowShown="0">
  <autoFilter ref="A1:G11" xr:uid="{1403C30E-1AB6-442F-A4EA-E5DA5D24E90F}"/>
  <tableColumns count="7">
    <tableColumn id="1" xr3:uid="{31656279-C24C-46C3-A8C9-8AFFED4B0CC8}" uniqueName="1" name="Cbyp (F)" queryTableFieldId="1"/>
    <tableColumn id="2" xr3:uid="{383CCAE1-EBB1-41C9-B567-5B250A4F5390}" uniqueName="2" name="fH (Hz)" queryTableFieldId="2" dataDxfId="18"/>
    <tableColumn id="3" xr3:uid="{053413BB-2C18-4D0B-8DE4-F857D9F94211}" uniqueName="3" name="fL (Hz)" queryTableFieldId="3" dataDxfId="17"/>
    <tableColumn id="4" xr3:uid="{60379D0F-D8F6-440A-A407-26044E5945CA}" uniqueName="4" name="CMRR (dB)" queryTableFieldId="4" dataDxfId="16"/>
    <tableColumn id="5" xr3:uid="{A2ED2229-AF14-4828-8F42-096A5EF312A0}" uniqueName="5" name="PSRR (dB)" queryTableFieldId="5" dataDxfId="15"/>
    <tableColumn id="6" xr3:uid="{6362D6EA-B585-447F-9B80-3E8520E9E06B}" uniqueName="6" name="IRN (V/Hz1/2)" queryTableFieldId="6"/>
    <tableColumn id="7" xr3:uid="{8405596D-C219-49BE-9D47-578144DA5861}" uniqueName="7" name="MOP @ 1kHz and 1% THD (W)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634E68-E5C1-4019-877E-1C0A1D0FF919}" name="Cb" displayName="Cb" ref="A1:G23" tableType="queryTable" totalsRowShown="0">
  <autoFilter ref="A1:G23" xr:uid="{E7634E68-E5C1-4019-877E-1C0A1D0FF919}"/>
  <tableColumns count="7">
    <tableColumn id="1" xr3:uid="{BC7E7431-4611-4578-8FAC-E1BF2E5E4BEA}" uniqueName="1" name="CB" queryTableFieldId="1"/>
    <tableColumn id="2" xr3:uid="{3231B437-358B-4F2A-8895-7775F8FE0BCF}" uniqueName="2" name="fH (Hz)" queryTableFieldId="2" dataDxfId="14"/>
    <tableColumn id="3" xr3:uid="{1F35A37B-6796-437E-9A09-436D3CAB6D73}" uniqueName="3" name="fL (Hz)" queryTableFieldId="3" dataDxfId="13"/>
    <tableColumn id="4" xr3:uid="{51793031-8078-47F5-B6DE-B6F9B9B06BC0}" uniqueName="4" name="CMRR (dB)" queryTableFieldId="4" dataDxfId="12"/>
    <tableColumn id="5" xr3:uid="{A418C132-B11C-4AC0-B7D9-AD4DBEFC068B}" uniqueName="5" name="PSRR (dB)" queryTableFieldId="5"/>
    <tableColumn id="6" xr3:uid="{8C12B18E-DD32-42F8-A80D-86B29EE8D459}" uniqueName="6" name="IRN (V/Hz1/2)" queryTableFieldId="6"/>
    <tableColumn id="7" xr3:uid="{F48A63A8-8E6B-4307-A45B-E289AE65D82A}" uniqueName="7" name="MOP @ 1kHz and 1% THD (W)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0B6467-9015-49E1-B249-043F1CA05AE5}" name="Vs" displayName="Vs" ref="A1:G8" tableType="queryTable" totalsRowShown="0">
  <autoFilter ref="A1:G8" xr:uid="{DC0B6467-9015-49E1-B249-043F1CA05AE5}"/>
  <tableColumns count="7">
    <tableColumn id="1" xr3:uid="{A3B41791-44B7-4176-9AD4-4BDE9497ACE7}" uniqueName="1" name="Vs" queryTableFieldId="1"/>
    <tableColumn id="2" xr3:uid="{294B7403-8771-4C52-A4B3-A69449A379E9}" uniqueName="2" name="fH (Hz)" queryTableFieldId="2"/>
    <tableColumn id="3" xr3:uid="{ACFD2E79-49AC-4260-AF0E-B1C1B2AFD13A}" uniqueName="3" name="fL (Hz)" queryTableFieldId="3" dataDxfId="11"/>
    <tableColumn id="4" xr3:uid="{785C8A1E-9D98-4752-A77A-642B184F4B32}" uniqueName="4" name="CMRR (dB)" queryTableFieldId="4" dataDxfId="10"/>
    <tableColumn id="5" xr3:uid="{7482D8FD-49C4-4C1E-912D-1E2BC4140B98}" uniqueName="5" name="PSRR (dB)" queryTableFieldId="5" dataDxfId="9"/>
    <tableColumn id="6" xr3:uid="{D4E9D94F-1C2D-41DF-85FB-F83F80EF65B8}" uniqueName="6" name="IRN (V/Hz1/2)" queryTableFieldId="6" dataDxfId="8"/>
    <tableColumn id="8" xr3:uid="{F67D757F-33A0-47C1-9966-73D8FED3A9E6}" uniqueName="8" name="MOP @ 1kHz and 1% THD (W)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5FA64B-7802-4355-9A63-0A22192797D0}" name="VsigDC__2" displayName="VsigDC__2" ref="A1:G22" tableType="queryTable" totalsRowShown="0">
  <autoFilter ref="A1:G22" xr:uid="{EF5FA64B-7802-4355-9A63-0A22192797D0}"/>
  <tableColumns count="7">
    <tableColumn id="1" xr3:uid="{59CC4AF5-393F-4BC4-A0D2-74DCD6C5A83E}" uniqueName="1" name="VsigDC (V)" queryTableFieldId="1"/>
    <tableColumn id="2" xr3:uid="{551E58AB-8449-4F1E-9B62-0746AD440CC1}" uniqueName="2" name="fH (Hz)" queryTableFieldId="2" dataDxfId="7"/>
    <tableColumn id="3" xr3:uid="{93D05988-1070-4A4A-9F45-AA5493D10360}" uniqueName="3" name="fL (Hz)" queryTableFieldId="3" dataDxfId="6"/>
    <tableColumn id="4" xr3:uid="{D6C689B9-933C-45CF-9B6B-22DD07FCFE34}" uniqueName="4" name="CMRR (dB)" queryTableFieldId="4" dataDxfId="5"/>
    <tableColumn id="5" xr3:uid="{A01307D8-6435-41E1-A5C0-60ADA31F61F4}" uniqueName="5" name="PSRR (dB)" queryTableFieldId="5" dataDxfId="4"/>
    <tableColumn id="6" xr3:uid="{8F777D27-D420-452C-B0B0-0DE97A12EAD3}" uniqueName="6" name="IRN (V/Hz1/2)" queryTableFieldId="6"/>
    <tableColumn id="7" xr3:uid="{751430CF-327F-486D-9BFC-7D7516043223}" uniqueName="7" name="MOP @ 1kHz and 1% THD (W)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DB84FA-F5EE-4BBB-A433-8FEBE007D4D9}" name="Rl" displayName="Rl" ref="A1:G4" tableType="queryTable" totalsRowShown="0">
  <autoFilter ref="A1:G4" xr:uid="{57DB84FA-F5EE-4BBB-A433-8FEBE007D4D9}"/>
  <tableColumns count="7">
    <tableColumn id="1" xr3:uid="{75305420-8241-411A-939E-6E72993AA032}" uniqueName="1" name="Rl" queryTableFieldId="1"/>
    <tableColumn id="2" xr3:uid="{33E538E5-7F9E-4334-B971-A59D99277247}" uniqueName="2" name="fH (Hz)" queryTableFieldId="2" dataDxfId="3"/>
    <tableColumn id="3" xr3:uid="{80B1DACB-0C87-425E-A13B-CD5335277657}" uniqueName="3" name="fL (Hz)" queryTableFieldId="3" dataDxfId="2"/>
    <tableColumn id="4" xr3:uid="{79B5EDD4-13EE-49CC-980A-D115463EA6CF}" uniqueName="4" name="CMRR (dB)" queryTableFieldId="4"/>
    <tableColumn id="5" xr3:uid="{02F36857-8A8A-4D25-B184-71A84E17C542}" uniqueName="5" name="PSRR (dB)" queryTableFieldId="5"/>
    <tableColumn id="6" xr3:uid="{F7E7D862-0BAB-417E-BC6E-F4DF39343254}" uniqueName="6" name="IRN (V/Hz1/2)" queryTableFieldId="6"/>
    <tableColumn id="7" xr3:uid="{147A5A60-93B9-417A-9204-11716C91A61D}" uniqueName="7" name="MOP @ 1kHz and 1% THD (W)" queryTableFieldId="7" dataDxf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CFCFDE0-E0E1-439A-8331-E1D4C3CFC63D}" name="Rpot_IRN" displayName="Rpot_IRN" ref="A1:B26" tableType="queryTable" totalsRowShown="0">
  <autoFilter ref="A1:B26" xr:uid="{0CFCFDE0-E0E1-439A-8331-E1D4C3CFC63D}"/>
  <tableColumns count="2">
    <tableColumn id="1" xr3:uid="{678AE5E0-EB98-4903-B114-3AE34D9CCCC5}" uniqueName="1" name="Rpot" queryTableFieldId="1"/>
    <tableColumn id="2" xr3:uid="{5AC83354-5AD0-4DCA-B0E3-2BD4774EC560}" uniqueName="2" name="IRN (V/Hz1/2)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D322-C38D-4306-9810-009713E35EC9}">
  <dimension ref="A1:G32"/>
  <sheetViews>
    <sheetView tabSelected="1" workbookViewId="0">
      <selection activeCell="N16" sqref="N16"/>
    </sheetView>
  </sheetViews>
  <sheetFormatPr defaultRowHeight="14.25" x14ac:dyDescent="0.45"/>
  <cols>
    <col min="1" max="1" width="37.86328125" customWidth="1"/>
    <col min="2" max="2" width="24.53125" customWidth="1"/>
  </cols>
  <sheetData>
    <row r="1" spans="1:7" ht="14.65" thickBot="1" x14ac:dyDescent="0.5"/>
    <row r="2" spans="1:7" ht="14.65" thickBot="1" x14ac:dyDescent="0.5">
      <c r="A2" s="5"/>
      <c r="B2" s="8" t="s">
        <v>6</v>
      </c>
      <c r="C2" s="6" t="s">
        <v>7</v>
      </c>
      <c r="D2" s="8" t="s">
        <v>8</v>
      </c>
      <c r="E2" s="6" t="s">
        <v>9</v>
      </c>
      <c r="F2" s="8" t="s">
        <v>10</v>
      </c>
      <c r="G2" s="7" t="s">
        <v>11</v>
      </c>
    </row>
    <row r="3" spans="1:7" ht="14.65" thickBot="1" x14ac:dyDescent="0.5">
      <c r="A3" s="8" t="s">
        <v>60</v>
      </c>
      <c r="B3" s="25" t="s">
        <v>64</v>
      </c>
      <c r="C3" s="19" t="s">
        <v>65</v>
      </c>
      <c r="D3" s="25" t="s">
        <v>63</v>
      </c>
      <c r="E3" s="19">
        <v>0</v>
      </c>
      <c r="F3" s="25" t="s">
        <v>62</v>
      </c>
      <c r="G3" s="19" t="s">
        <v>61</v>
      </c>
    </row>
    <row r="5" spans="1:7" ht="14.65" thickBot="1" x14ac:dyDescent="0.5">
      <c r="A5" t="s">
        <v>68</v>
      </c>
    </row>
    <row r="6" spans="1:7" ht="14.65" thickBot="1" x14ac:dyDescent="0.5">
      <c r="A6" s="27" t="s">
        <v>66</v>
      </c>
      <c r="B6" s="26"/>
    </row>
    <row r="7" spans="1:7" ht="14.65" thickBot="1" x14ac:dyDescent="0.5">
      <c r="A7" s="26" t="s">
        <v>69</v>
      </c>
      <c r="B7" s="29" t="s">
        <v>74</v>
      </c>
    </row>
    <row r="8" spans="1:7" ht="14.65" thickBot="1" x14ac:dyDescent="0.5">
      <c r="A8" s="19" t="s">
        <v>70</v>
      </c>
      <c r="B8" s="9" t="s">
        <v>75</v>
      </c>
    </row>
    <row r="9" spans="1:7" ht="14.65" thickBot="1" x14ac:dyDescent="0.5">
      <c r="A9" s="9" t="s">
        <v>71</v>
      </c>
      <c r="B9" s="9" t="s">
        <v>76</v>
      </c>
    </row>
    <row r="10" spans="1:7" ht="14.65" thickBot="1" x14ac:dyDescent="0.5">
      <c r="A10" s="19" t="s">
        <v>72</v>
      </c>
      <c r="B10" s="9" t="s">
        <v>77</v>
      </c>
    </row>
    <row r="11" spans="1:7" ht="14.65" thickBot="1" x14ac:dyDescent="0.5">
      <c r="A11" s="9" t="s">
        <v>81</v>
      </c>
      <c r="B11" s="9" t="s">
        <v>73</v>
      </c>
    </row>
    <row r="12" spans="1:7" ht="14.65" thickBot="1" x14ac:dyDescent="0.5">
      <c r="A12" s="19" t="s">
        <v>80</v>
      </c>
      <c r="B12" s="29" t="s">
        <v>78</v>
      </c>
    </row>
    <row r="13" spans="1:7" ht="14.65" thickBot="1" x14ac:dyDescent="0.5">
      <c r="A13" s="30" t="s">
        <v>86</v>
      </c>
      <c r="B13" s="9" t="s">
        <v>79</v>
      </c>
    </row>
    <row r="14" spans="1:7" ht="14.65" thickBot="1" x14ac:dyDescent="0.5">
      <c r="A14" s="19" t="s">
        <v>84</v>
      </c>
      <c r="B14" s="9" t="s">
        <v>82</v>
      </c>
    </row>
    <row r="15" spans="1:7" ht="14.65" thickBot="1" x14ac:dyDescent="0.5">
      <c r="A15" s="9" t="s">
        <v>85</v>
      </c>
      <c r="B15" s="9" t="s">
        <v>83</v>
      </c>
    </row>
    <row r="16" spans="1:7" ht="14.65" thickBot="1" x14ac:dyDescent="0.5">
      <c r="A16" s="19" t="s">
        <v>87</v>
      </c>
      <c r="B16" s="10" t="s">
        <v>67</v>
      </c>
    </row>
    <row r="18" spans="1:2" x14ac:dyDescent="0.45">
      <c r="A18" t="s">
        <v>88</v>
      </c>
    </row>
    <row r="19" spans="1:2" x14ac:dyDescent="0.45">
      <c r="A19" t="s">
        <v>89</v>
      </c>
    </row>
    <row r="21" spans="1:2" x14ac:dyDescent="0.45">
      <c r="A21" t="s">
        <v>91</v>
      </c>
      <c r="B21" t="s">
        <v>90</v>
      </c>
    </row>
    <row r="22" spans="1:2" x14ac:dyDescent="0.45">
      <c r="A22" s="31">
        <v>9.7893186912700006E-2</v>
      </c>
      <c r="B22" s="28">
        <v>2.3571600000000001E-3</v>
      </c>
    </row>
    <row r="23" spans="1:2" x14ac:dyDescent="0.45">
      <c r="A23" s="31">
        <v>0.15974597499000001</v>
      </c>
      <c r="B23" s="28">
        <v>2.32351E-3</v>
      </c>
    </row>
    <row r="24" spans="1:2" x14ac:dyDescent="0.45">
      <c r="A24" s="31">
        <v>0.236656451282</v>
      </c>
      <c r="B24" s="28">
        <v>2.2616300000000002E-3</v>
      </c>
    </row>
    <row r="25" spans="1:2" x14ac:dyDescent="0.45">
      <c r="A25" s="31">
        <v>0.32860485704699999</v>
      </c>
      <c r="B25" s="28">
        <v>2.17301E-3</v>
      </c>
    </row>
    <row r="26" spans="1:2" x14ac:dyDescent="0.45">
      <c r="A26" s="31">
        <v>0.43555143377099997</v>
      </c>
      <c r="B26" s="28">
        <v>2.0521099999999998E-3</v>
      </c>
    </row>
    <row r="27" spans="1:2" x14ac:dyDescent="0.45">
      <c r="A27" s="31">
        <v>0.55741498182899996</v>
      </c>
      <c r="B27" s="28">
        <v>1.88915E-3</v>
      </c>
    </row>
    <row r="28" spans="1:2" x14ac:dyDescent="0.45">
      <c r="A28" s="31">
        <v>0.69402827354999996</v>
      </c>
      <c r="B28" s="28">
        <v>1.6924100000000001E-3</v>
      </c>
    </row>
    <row r="29" spans="1:2" x14ac:dyDescent="0.45">
      <c r="A29" s="31">
        <v>0.845051319701</v>
      </c>
      <c r="B29" s="28">
        <v>1.62729E-3</v>
      </c>
    </row>
    <row r="30" spans="1:2" x14ac:dyDescent="0.45">
      <c r="A30" s="31">
        <v>1.00983015282</v>
      </c>
      <c r="B30" s="28">
        <v>2.1747699999999999E-3</v>
      </c>
    </row>
    <row r="31" spans="1:2" x14ac:dyDescent="0.45">
      <c r="A31" s="31">
        <v>1.17967453848</v>
      </c>
      <c r="B31" s="28">
        <v>8.0291800000000003E-3</v>
      </c>
    </row>
    <row r="32" spans="1:2" x14ac:dyDescent="0.45">
      <c r="A32" s="31">
        <v>1.32651220203</v>
      </c>
      <c r="B32" s="28">
        <v>3.0925310000000001E-2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9C00-6A83-4A6A-9627-27BEB0AB27F5}">
  <dimension ref="A1:K19"/>
  <sheetViews>
    <sheetView zoomScale="84" workbookViewId="0">
      <selection activeCell="B21" sqref="B21"/>
    </sheetView>
  </sheetViews>
  <sheetFormatPr defaultRowHeight="14.25" x14ac:dyDescent="0.45"/>
  <cols>
    <col min="1" max="1" width="36.53125" customWidth="1"/>
    <col min="2" max="2" width="9.33203125" customWidth="1"/>
    <col min="9" max="9" width="7.86328125" customWidth="1"/>
    <col min="10" max="10" width="45.46484375" customWidth="1"/>
    <col min="11" max="11" width="18.265625" customWidth="1"/>
  </cols>
  <sheetData>
    <row r="1" spans="1:11" ht="14.65" thickBot="1" x14ac:dyDescent="0.5">
      <c r="A1" t="s">
        <v>35</v>
      </c>
      <c r="I1" t="s">
        <v>19</v>
      </c>
    </row>
    <row r="2" spans="1:11" ht="14.65" thickBot="1" x14ac:dyDescent="0.5">
      <c r="A2" s="5" t="s">
        <v>0</v>
      </c>
      <c r="B2" s="8" t="s">
        <v>6</v>
      </c>
      <c r="C2" s="6" t="s">
        <v>7</v>
      </c>
      <c r="D2" s="8" t="s">
        <v>8</v>
      </c>
      <c r="E2" s="6" t="s">
        <v>9</v>
      </c>
      <c r="F2" s="8" t="s">
        <v>10</v>
      </c>
      <c r="G2" s="7" t="s">
        <v>11</v>
      </c>
      <c r="I2" s="17" t="s">
        <v>26</v>
      </c>
      <c r="J2" s="19" t="s">
        <v>27</v>
      </c>
      <c r="K2" s="18" t="s">
        <v>28</v>
      </c>
    </row>
    <row r="3" spans="1:11" x14ac:dyDescent="0.45">
      <c r="A3" s="1" t="s">
        <v>1</v>
      </c>
      <c r="B3" s="11" t="s">
        <v>13</v>
      </c>
      <c r="C3" s="12" t="s">
        <v>14</v>
      </c>
      <c r="D3" s="11" t="s">
        <v>13</v>
      </c>
      <c r="E3" s="12" t="s">
        <v>13</v>
      </c>
      <c r="F3" s="11" t="s">
        <v>14</v>
      </c>
      <c r="G3" s="13" t="s">
        <v>12</v>
      </c>
      <c r="I3" s="1" t="s">
        <v>6</v>
      </c>
      <c r="J3" s="9" t="s">
        <v>20</v>
      </c>
      <c r="K3" s="2" t="s">
        <v>29</v>
      </c>
    </row>
    <row r="4" spans="1:11" x14ac:dyDescent="0.45">
      <c r="A4" s="1" t="s">
        <v>2</v>
      </c>
      <c r="B4" s="11" t="s">
        <v>13</v>
      </c>
      <c r="C4" s="12" t="s">
        <v>13</v>
      </c>
      <c r="D4" s="11" t="s">
        <v>15</v>
      </c>
      <c r="E4" s="12" t="s">
        <v>15</v>
      </c>
      <c r="F4" s="11" t="s">
        <v>15</v>
      </c>
      <c r="G4" s="13" t="s">
        <v>12</v>
      </c>
      <c r="I4" s="1" t="s">
        <v>7</v>
      </c>
      <c r="J4" s="9" t="s">
        <v>21</v>
      </c>
      <c r="K4" s="2" t="s">
        <v>30</v>
      </c>
    </row>
    <row r="5" spans="1:11" x14ac:dyDescent="0.45">
      <c r="A5" s="1" t="s">
        <v>3</v>
      </c>
      <c r="B5" s="11" t="s">
        <v>15</v>
      </c>
      <c r="C5" s="12" t="s">
        <v>13</v>
      </c>
      <c r="D5" s="11" t="s">
        <v>15</v>
      </c>
      <c r="E5" s="12" t="s">
        <v>15</v>
      </c>
      <c r="F5" s="11" t="s">
        <v>13</v>
      </c>
      <c r="G5" s="13" t="s">
        <v>12</v>
      </c>
      <c r="I5" s="1" t="s">
        <v>8</v>
      </c>
      <c r="J5" s="9" t="s">
        <v>22</v>
      </c>
      <c r="K5" s="2" t="s">
        <v>31</v>
      </c>
    </row>
    <row r="6" spans="1:11" x14ac:dyDescent="0.45">
      <c r="A6" s="1" t="s">
        <v>4</v>
      </c>
      <c r="B6" s="11" t="s">
        <v>15</v>
      </c>
      <c r="C6" s="12" t="s">
        <v>13</v>
      </c>
      <c r="D6" s="11" t="s">
        <v>13</v>
      </c>
      <c r="E6" s="12" t="s">
        <v>13</v>
      </c>
      <c r="F6" s="11" t="s">
        <v>13</v>
      </c>
      <c r="G6" s="13" t="s">
        <v>12</v>
      </c>
      <c r="I6" s="1" t="s">
        <v>9</v>
      </c>
      <c r="J6" s="9" t="s">
        <v>23</v>
      </c>
      <c r="K6" s="2" t="s">
        <v>32</v>
      </c>
    </row>
    <row r="7" spans="1:11" x14ac:dyDescent="0.45">
      <c r="A7" s="1" t="s">
        <v>5</v>
      </c>
      <c r="B7" s="11" t="s">
        <v>13</v>
      </c>
      <c r="C7" s="12" t="s">
        <v>13</v>
      </c>
      <c r="D7" s="11" t="s">
        <v>14</v>
      </c>
      <c r="E7" s="12" t="s">
        <v>14</v>
      </c>
      <c r="F7" s="11" t="s">
        <v>13</v>
      </c>
      <c r="G7" s="23" t="s">
        <v>48</v>
      </c>
      <c r="I7" s="1" t="s">
        <v>10</v>
      </c>
      <c r="J7" s="9" t="s">
        <v>24</v>
      </c>
      <c r="K7" s="2" t="s">
        <v>33</v>
      </c>
    </row>
    <row r="8" spans="1:11" ht="14.65" thickBot="1" x14ac:dyDescent="0.5">
      <c r="A8" s="3" t="s">
        <v>56</v>
      </c>
      <c r="B8" s="14" t="s">
        <v>13</v>
      </c>
      <c r="C8" s="15" t="s">
        <v>15</v>
      </c>
      <c r="D8" s="14" t="s">
        <v>15</v>
      </c>
      <c r="E8" s="15" t="s">
        <v>55</v>
      </c>
      <c r="F8" s="14" t="s">
        <v>14</v>
      </c>
      <c r="G8" s="16" t="s">
        <v>12</v>
      </c>
      <c r="I8" s="3" t="s">
        <v>11</v>
      </c>
      <c r="J8" s="10" t="s">
        <v>25</v>
      </c>
      <c r="K8" s="4" t="s">
        <v>34</v>
      </c>
    </row>
    <row r="9" spans="1:11" x14ac:dyDescent="0.45">
      <c r="B9" t="s">
        <v>16</v>
      </c>
    </row>
    <row r="10" spans="1:11" x14ac:dyDescent="0.45">
      <c r="B10" t="s">
        <v>18</v>
      </c>
    </row>
    <row r="11" spans="1:11" x14ac:dyDescent="0.45">
      <c r="B11" t="s">
        <v>17</v>
      </c>
    </row>
    <row r="12" spans="1:11" x14ac:dyDescent="0.45">
      <c r="B12" t="s">
        <v>49</v>
      </c>
    </row>
    <row r="14" spans="1:11" x14ac:dyDescent="0.45">
      <c r="B14" t="s">
        <v>43</v>
      </c>
    </row>
    <row r="15" spans="1:11" x14ac:dyDescent="0.45">
      <c r="B15" t="s">
        <v>46</v>
      </c>
    </row>
    <row r="16" spans="1:11" x14ac:dyDescent="0.45">
      <c r="B16" t="s">
        <v>50</v>
      </c>
    </row>
    <row r="17" spans="2:2" x14ac:dyDescent="0.45">
      <c r="B17" t="s">
        <v>59</v>
      </c>
    </row>
    <row r="19" spans="2:2" x14ac:dyDescent="0.45">
      <c r="B19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9EB8-04FA-4983-8AE7-107925634ED8}">
  <dimension ref="A1:G12"/>
  <sheetViews>
    <sheetView workbookViewId="0">
      <selection activeCell="F24" sqref="F24"/>
    </sheetView>
  </sheetViews>
  <sheetFormatPr defaultRowHeight="14.25" x14ac:dyDescent="0.45"/>
  <cols>
    <col min="1" max="1" width="11.6640625" customWidth="1"/>
    <col min="2" max="2" width="8.59765625" customWidth="1"/>
    <col min="3" max="3" width="8.73046875" bestFit="1" customWidth="1"/>
    <col min="4" max="4" width="11.06640625" customWidth="1"/>
    <col min="5" max="5" width="11.19921875" customWidth="1"/>
    <col min="7" max="7" width="25.59765625" customWidth="1"/>
  </cols>
  <sheetData>
    <row r="1" spans="1:7" x14ac:dyDescent="0.45">
      <c r="A1" t="s">
        <v>44</v>
      </c>
      <c r="B1" t="s">
        <v>38</v>
      </c>
      <c r="C1" t="s">
        <v>37</v>
      </c>
      <c r="D1" t="s">
        <v>36</v>
      </c>
      <c r="E1" t="s">
        <v>40</v>
      </c>
      <c r="F1" t="s">
        <v>45</v>
      </c>
      <c r="G1" t="s">
        <v>51</v>
      </c>
    </row>
    <row r="2" spans="1:7" x14ac:dyDescent="0.45">
      <c r="A2">
        <v>9.9999999999999995E-7</v>
      </c>
      <c r="B2" s="21">
        <v>417397.5</v>
      </c>
      <c r="C2" s="21">
        <v>198.68379999999999</v>
      </c>
      <c r="D2" s="20">
        <v>45.7059548366</v>
      </c>
      <c r="E2" s="20">
        <v>45.812784179799998</v>
      </c>
      <c r="F2">
        <v>2.9910589999999997E-8</v>
      </c>
      <c r="G2">
        <v>0.52239999999999998</v>
      </c>
    </row>
    <row r="3" spans="1:7" x14ac:dyDescent="0.45">
      <c r="A3">
        <v>1.9999999999999999E-6</v>
      </c>
      <c r="B3" s="21">
        <v>417397.3</v>
      </c>
      <c r="C3" s="21">
        <v>198.54040000000001</v>
      </c>
      <c r="D3" s="20">
        <v>51.453431356300001</v>
      </c>
      <c r="E3" s="20">
        <v>51.686266342400003</v>
      </c>
      <c r="F3">
        <v>2.991062E-8</v>
      </c>
      <c r="G3">
        <v>0.5222</v>
      </c>
    </row>
    <row r="4" spans="1:7" x14ac:dyDescent="0.45">
      <c r="A4">
        <v>3.0000000000000001E-6</v>
      </c>
      <c r="B4" s="21">
        <v>417397.2</v>
      </c>
      <c r="C4" s="21">
        <v>198.49379999999999</v>
      </c>
      <c r="D4" s="20">
        <v>54.7382936968</v>
      </c>
      <c r="E4" s="20">
        <v>55.172538864000003</v>
      </c>
      <c r="F4">
        <v>2.9910629999999997E-8</v>
      </c>
      <c r="G4">
        <v>0.51910000000000001</v>
      </c>
    </row>
    <row r="5" spans="1:7" x14ac:dyDescent="0.45">
      <c r="A5">
        <v>3.9999999999999998E-6</v>
      </c>
      <c r="B5" s="21">
        <v>417397.2</v>
      </c>
      <c r="C5" s="21">
        <v>198.4708</v>
      </c>
      <c r="D5" s="20">
        <v>56.9495224506</v>
      </c>
      <c r="E5" s="20">
        <v>57.649560416500002</v>
      </c>
      <c r="F5">
        <v>2.9910629999999997E-8</v>
      </c>
      <c r="G5">
        <v>0.51900000000000002</v>
      </c>
    </row>
    <row r="6" spans="1:7" x14ac:dyDescent="0.45">
      <c r="A6">
        <v>5.0000000000000004E-6</v>
      </c>
      <c r="B6" s="21">
        <v>417397.2</v>
      </c>
      <c r="C6" s="21">
        <v>198.4571</v>
      </c>
      <c r="D6" s="20">
        <v>58.550088218399999</v>
      </c>
      <c r="E6" s="20">
        <v>59.567504283399998</v>
      </c>
      <c r="F6">
        <v>2.9910629999999997E-8</v>
      </c>
      <c r="G6">
        <v>0.51900000000000002</v>
      </c>
    </row>
    <row r="7" spans="1:7" x14ac:dyDescent="0.45">
      <c r="A7">
        <v>6.0000000000000002E-6</v>
      </c>
      <c r="B7" s="21">
        <v>417397.2</v>
      </c>
      <c r="C7" s="21">
        <v>198.44800000000001</v>
      </c>
      <c r="D7" s="20">
        <v>59.755944617499999</v>
      </c>
      <c r="E7" s="20">
        <v>61.129347667300003</v>
      </c>
      <c r="F7">
        <v>2.991064E-8</v>
      </c>
      <c r="G7">
        <v>0.51890000000000003</v>
      </c>
    </row>
    <row r="8" spans="1:7" x14ac:dyDescent="0.45">
      <c r="A8">
        <v>6.9999999999999999E-6</v>
      </c>
      <c r="B8" s="21">
        <v>417397.2</v>
      </c>
      <c r="C8" s="21">
        <v>198.44149999999999</v>
      </c>
      <c r="D8" s="20">
        <v>60.687961530599999</v>
      </c>
      <c r="E8" s="20">
        <v>62.4439726353</v>
      </c>
      <c r="F8">
        <v>2.991064E-8</v>
      </c>
      <c r="G8">
        <v>0.51890000000000003</v>
      </c>
    </row>
    <row r="9" spans="1:7" x14ac:dyDescent="0.45">
      <c r="A9">
        <v>7.9999999999999996E-6</v>
      </c>
      <c r="B9" s="21">
        <v>417397.2</v>
      </c>
      <c r="C9" s="21">
        <v>198.4367</v>
      </c>
      <c r="D9" s="20">
        <v>61.421684828399997</v>
      </c>
      <c r="E9" s="20">
        <v>63.576586775000003</v>
      </c>
      <c r="F9">
        <v>2.991064E-8</v>
      </c>
      <c r="G9">
        <v>0.51890000000000003</v>
      </c>
    </row>
    <row r="10" spans="1:7" x14ac:dyDescent="0.45">
      <c r="A10">
        <v>9.0000000000000002E-6</v>
      </c>
      <c r="B10" s="21">
        <v>417397.2</v>
      </c>
      <c r="C10" s="21">
        <v>198.43289999999999</v>
      </c>
      <c r="D10" s="20">
        <v>62.0077302487</v>
      </c>
      <c r="E10" s="20">
        <v>64.569350646100006</v>
      </c>
      <c r="F10">
        <v>2.991064E-8</v>
      </c>
      <c r="G10">
        <v>0.51890000000000003</v>
      </c>
    </row>
    <row r="11" spans="1:7" x14ac:dyDescent="0.45">
      <c r="A11">
        <v>1.0000000000000001E-5</v>
      </c>
      <c r="B11" s="21">
        <v>417397.2</v>
      </c>
      <c r="C11" s="21">
        <v>198.4299</v>
      </c>
      <c r="D11" s="20">
        <v>62.481570320199999</v>
      </c>
      <c r="E11" s="20">
        <v>65.451110657200005</v>
      </c>
      <c r="F11">
        <v>2.991064E-8</v>
      </c>
      <c r="G11">
        <v>0.51890000000000003</v>
      </c>
    </row>
    <row r="12" spans="1:7" x14ac:dyDescent="0.45">
      <c r="G12" t="s">
        <v>52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424F-F9D1-4E5E-9451-216359565836}">
  <dimension ref="A1:G24"/>
  <sheetViews>
    <sheetView zoomScale="82" workbookViewId="0">
      <selection activeCell="G26" sqref="G26"/>
    </sheetView>
  </sheetViews>
  <sheetFormatPr defaultRowHeight="14.25" x14ac:dyDescent="0.45"/>
  <cols>
    <col min="1" max="1" width="7.73046875" bestFit="1" customWidth="1"/>
    <col min="2" max="3" width="8.73046875" bestFit="1" customWidth="1"/>
    <col min="4" max="4" width="11.19921875" customWidth="1"/>
    <col min="5" max="5" width="10.86328125" customWidth="1"/>
    <col min="6" max="6" width="14.19921875" customWidth="1"/>
    <col min="7" max="7" width="25.86328125" customWidth="1"/>
  </cols>
  <sheetData>
    <row r="1" spans="1:7" x14ac:dyDescent="0.45">
      <c r="A1" t="s">
        <v>41</v>
      </c>
      <c r="B1" t="s">
        <v>38</v>
      </c>
      <c r="C1" t="s">
        <v>37</v>
      </c>
      <c r="D1" t="s">
        <v>36</v>
      </c>
      <c r="E1" t="s">
        <v>40</v>
      </c>
      <c r="F1" t="s">
        <v>45</v>
      </c>
      <c r="G1" t="s">
        <v>51</v>
      </c>
    </row>
    <row r="2" spans="1:7" x14ac:dyDescent="0.45">
      <c r="A2">
        <v>1.0000000000000001E-5</v>
      </c>
      <c r="B2" s="21">
        <v>417508.1</v>
      </c>
      <c r="C2" s="21">
        <v>1984.721</v>
      </c>
      <c r="D2" s="20">
        <v>62.481570391699996</v>
      </c>
      <c r="E2">
        <v>65.45</v>
      </c>
      <c r="F2">
        <v>2.991232E-8</v>
      </c>
      <c r="G2">
        <v>0.1166</v>
      </c>
    </row>
    <row r="3" spans="1:7" x14ac:dyDescent="0.45">
      <c r="A3">
        <v>2.0000000000000002E-5</v>
      </c>
      <c r="B3" s="21">
        <v>417419.6</v>
      </c>
      <c r="C3" s="21">
        <v>992.89059999999995</v>
      </c>
      <c r="D3" s="20">
        <v>62.481570390500003</v>
      </c>
      <c r="E3">
        <v>65.45</v>
      </c>
      <c r="F3">
        <v>2.9910670000000003E-8</v>
      </c>
      <c r="G3">
        <v>0.28289999999999998</v>
      </c>
    </row>
    <row r="4" spans="1:7" x14ac:dyDescent="0.45">
      <c r="A4">
        <v>3.0000000000000001E-5</v>
      </c>
      <c r="B4" s="21">
        <v>417404.5</v>
      </c>
      <c r="C4" s="21">
        <v>667.46489999999994</v>
      </c>
      <c r="D4" s="20">
        <v>62.481570388599998</v>
      </c>
      <c r="E4">
        <v>65.45</v>
      </c>
      <c r="F4">
        <v>2.991064E-8</v>
      </c>
      <c r="G4">
        <v>0.38429999999999997</v>
      </c>
    </row>
    <row r="5" spans="1:7" x14ac:dyDescent="0.45">
      <c r="A5">
        <v>4.0000000000000003E-5</v>
      </c>
      <c r="B5" s="21">
        <v>417400.2</v>
      </c>
      <c r="C5" s="21">
        <v>496.74189999999999</v>
      </c>
      <c r="D5" s="20">
        <v>62.4815703863</v>
      </c>
      <c r="E5">
        <v>65.45</v>
      </c>
      <c r="F5">
        <v>2.991064E-8</v>
      </c>
      <c r="G5">
        <v>0.43959999999999999</v>
      </c>
    </row>
    <row r="6" spans="1:7" x14ac:dyDescent="0.45">
      <c r="A6">
        <v>5.0000000000000002E-5</v>
      </c>
      <c r="B6" s="21">
        <v>417398.5</v>
      </c>
      <c r="C6" s="21">
        <v>396.93529999999998</v>
      </c>
      <c r="D6" s="20">
        <v>62.481570383499999</v>
      </c>
      <c r="E6">
        <v>65.45</v>
      </c>
      <c r="F6">
        <v>2.991064E-8</v>
      </c>
      <c r="G6">
        <v>0.4698</v>
      </c>
    </row>
    <row r="7" spans="1:7" x14ac:dyDescent="0.45">
      <c r="A7">
        <v>6.0000000000000002E-5</v>
      </c>
      <c r="B7" s="21">
        <v>417397.8</v>
      </c>
      <c r="C7" s="21">
        <v>333.7747</v>
      </c>
      <c r="D7" s="20">
        <v>62.481570380400001</v>
      </c>
      <c r="E7">
        <v>65.45</v>
      </c>
      <c r="F7">
        <v>2.991064E-8</v>
      </c>
      <c r="G7">
        <v>0.48980000000000001</v>
      </c>
    </row>
    <row r="8" spans="1:7" x14ac:dyDescent="0.45">
      <c r="A8">
        <v>6.9999999999999994E-5</v>
      </c>
      <c r="B8" s="21">
        <v>417397.5</v>
      </c>
      <c r="C8" s="21">
        <v>287.13799999999998</v>
      </c>
      <c r="D8" s="20">
        <v>62.481570376800001</v>
      </c>
      <c r="E8">
        <v>65.45</v>
      </c>
      <c r="F8">
        <v>2.991064E-8</v>
      </c>
      <c r="G8">
        <v>0.49969999999999998</v>
      </c>
    </row>
    <row r="9" spans="1:7" x14ac:dyDescent="0.45">
      <c r="A9">
        <v>8.0000000000000007E-5</v>
      </c>
      <c r="B9" s="21">
        <v>417397.4</v>
      </c>
      <c r="C9" s="21">
        <v>248.59790000000001</v>
      </c>
      <c r="D9" s="20">
        <v>62.481570372999997</v>
      </c>
      <c r="E9">
        <v>65.45</v>
      </c>
      <c r="F9">
        <v>2.9910629999999997E-8</v>
      </c>
      <c r="G9">
        <v>0.50839999999999996</v>
      </c>
    </row>
    <row r="10" spans="1:7" x14ac:dyDescent="0.45">
      <c r="A10">
        <v>9.0000000000000006E-5</v>
      </c>
      <c r="B10" s="21">
        <v>417397.4</v>
      </c>
      <c r="C10" s="21">
        <v>223.47929999999999</v>
      </c>
      <c r="D10" s="20">
        <v>62.481570368900002</v>
      </c>
      <c r="E10">
        <v>65.45</v>
      </c>
      <c r="F10">
        <v>2.9910629999999997E-8</v>
      </c>
      <c r="G10">
        <v>0.51449999999999996</v>
      </c>
    </row>
    <row r="11" spans="1:7" x14ac:dyDescent="0.45">
      <c r="A11">
        <v>1E-4</v>
      </c>
      <c r="B11" s="21">
        <v>417397.5</v>
      </c>
      <c r="C11" s="21">
        <v>198.68379999999999</v>
      </c>
      <c r="D11" s="20">
        <v>62.481570364699998</v>
      </c>
      <c r="E11">
        <v>65.45</v>
      </c>
      <c r="F11">
        <v>2.9910629999999997E-8</v>
      </c>
      <c r="G11">
        <v>0.51900000000000002</v>
      </c>
    </row>
    <row r="12" spans="1:7" x14ac:dyDescent="0.45">
      <c r="A12">
        <v>1.1E-4</v>
      </c>
      <c r="B12" s="21">
        <v>417397.5</v>
      </c>
      <c r="C12" s="21">
        <v>182.7698</v>
      </c>
      <c r="D12" s="20">
        <v>62.481570360500001</v>
      </c>
      <c r="E12">
        <v>65.45</v>
      </c>
      <c r="F12">
        <v>2.9910629999999997E-8</v>
      </c>
      <c r="G12">
        <v>0.52229999999999999</v>
      </c>
    </row>
    <row r="13" spans="1:7" x14ac:dyDescent="0.45">
      <c r="A13">
        <v>1.2E-4</v>
      </c>
      <c r="B13" s="21">
        <v>417397.6</v>
      </c>
      <c r="C13" s="21">
        <v>167.02</v>
      </c>
      <c r="D13" s="20">
        <v>62.481570356299997</v>
      </c>
      <c r="E13">
        <v>65.45</v>
      </c>
      <c r="F13">
        <v>2.9910629999999997E-8</v>
      </c>
      <c r="G13">
        <v>0.52490000000000003</v>
      </c>
    </row>
    <row r="14" spans="1:7" x14ac:dyDescent="0.45">
      <c r="A14">
        <v>1.2999999999999999E-4</v>
      </c>
      <c r="B14" s="21">
        <v>417397.7</v>
      </c>
      <c r="C14" s="21">
        <v>153.70410000000001</v>
      </c>
      <c r="D14" s="20">
        <v>62.4815703521</v>
      </c>
      <c r="E14">
        <v>65.45</v>
      </c>
      <c r="F14">
        <v>2.9910629999999997E-8</v>
      </c>
      <c r="G14">
        <v>0.52690000000000003</v>
      </c>
    </row>
    <row r="15" spans="1:7" x14ac:dyDescent="0.45">
      <c r="A15">
        <v>1.3999999999999999E-4</v>
      </c>
      <c r="B15" s="21">
        <v>417397.7</v>
      </c>
      <c r="C15" s="21">
        <v>143.7449</v>
      </c>
      <c r="D15" s="20">
        <v>62.481570347999998</v>
      </c>
      <c r="E15">
        <v>65.45</v>
      </c>
      <c r="F15">
        <v>2.9910629999999997E-8</v>
      </c>
      <c r="G15">
        <v>0.52849999999999997</v>
      </c>
    </row>
    <row r="16" spans="1:7" x14ac:dyDescent="0.45">
      <c r="A16">
        <v>1.4999999999999999E-4</v>
      </c>
      <c r="B16" s="21">
        <v>417397.8</v>
      </c>
      <c r="C16" s="21">
        <v>133.82390000000001</v>
      </c>
      <c r="D16" s="20">
        <v>62.481570343999998</v>
      </c>
      <c r="E16">
        <v>65.45</v>
      </c>
      <c r="F16">
        <v>2.9910629999999997E-8</v>
      </c>
      <c r="G16">
        <v>0.52980000000000005</v>
      </c>
    </row>
    <row r="17" spans="1:7" x14ac:dyDescent="0.45">
      <c r="A17">
        <v>1.6000000000000001E-4</v>
      </c>
      <c r="B17" s="21">
        <v>417397.8</v>
      </c>
      <c r="C17" s="21">
        <v>124.49250000000001</v>
      </c>
      <c r="D17" s="20">
        <v>62.481570340099999</v>
      </c>
      <c r="E17">
        <v>65.45</v>
      </c>
      <c r="F17">
        <v>2.9910629999999997E-8</v>
      </c>
      <c r="G17">
        <v>0.53090000000000004</v>
      </c>
    </row>
    <row r="18" spans="1:7" x14ac:dyDescent="0.45">
      <c r="A18">
        <v>1.7000000000000001E-4</v>
      </c>
      <c r="B18" s="21">
        <v>417397.9</v>
      </c>
      <c r="C18" s="21">
        <v>118.1549</v>
      </c>
      <c r="D18" s="20">
        <v>62.481570336399997</v>
      </c>
      <c r="E18">
        <v>65.45</v>
      </c>
      <c r="F18">
        <v>2.9910629999999997E-8</v>
      </c>
      <c r="G18">
        <v>0.53180000000000005</v>
      </c>
    </row>
    <row r="19" spans="1:7" x14ac:dyDescent="0.45">
      <c r="A19">
        <v>1.8000000000000001E-4</v>
      </c>
      <c r="B19" s="21">
        <v>417398</v>
      </c>
      <c r="C19" s="21">
        <v>111.914</v>
      </c>
      <c r="D19" s="20">
        <v>62.481570332799997</v>
      </c>
      <c r="E19">
        <v>65.45</v>
      </c>
      <c r="F19">
        <v>2.9910629999999997E-8</v>
      </c>
      <c r="G19">
        <v>0.53249999999999997</v>
      </c>
    </row>
    <row r="20" spans="1:7" x14ac:dyDescent="0.45">
      <c r="A20">
        <v>1.9000000000000001E-4</v>
      </c>
      <c r="B20" s="21">
        <v>417398</v>
      </c>
      <c r="C20" s="21">
        <v>105.65009999999999</v>
      </c>
      <c r="D20" s="20">
        <v>62.4815703294</v>
      </c>
      <c r="E20">
        <v>65.45</v>
      </c>
      <c r="F20">
        <v>2.9910629999999997E-8</v>
      </c>
      <c r="G20">
        <v>0.53310000000000002</v>
      </c>
    </row>
    <row r="21" spans="1:7" x14ac:dyDescent="0.45">
      <c r="A21">
        <v>2.0000000000000001E-4</v>
      </c>
      <c r="B21" s="21">
        <v>417398.1</v>
      </c>
      <c r="C21" s="21">
        <v>99.52852</v>
      </c>
      <c r="D21" s="20">
        <v>62.4815703262</v>
      </c>
      <c r="E21">
        <v>65.45</v>
      </c>
      <c r="F21">
        <v>2.9910629999999997E-8</v>
      </c>
      <c r="G21">
        <v>0.53369999999999995</v>
      </c>
    </row>
    <row r="22" spans="1:7" x14ac:dyDescent="0.45">
      <c r="A22">
        <v>2.1000000000000001E-4</v>
      </c>
      <c r="B22" s="21">
        <v>417398.1</v>
      </c>
      <c r="C22" s="21">
        <v>95.511390000000006</v>
      </c>
      <c r="D22" s="20">
        <v>62.481570323100001</v>
      </c>
      <c r="E22">
        <v>65.45</v>
      </c>
      <c r="F22">
        <v>2.9910629999999997E-8</v>
      </c>
      <c r="G22">
        <v>0.53410000000000002</v>
      </c>
    </row>
    <row r="23" spans="1:7" x14ac:dyDescent="0.45">
      <c r="A23">
        <v>2.2000000000000001E-4</v>
      </c>
      <c r="B23" s="21">
        <v>417398.2</v>
      </c>
      <c r="C23" s="21">
        <v>91.563929999999999</v>
      </c>
      <c r="D23" s="20">
        <v>62.481570320199999</v>
      </c>
      <c r="E23">
        <v>65.45</v>
      </c>
      <c r="F23">
        <v>2.9910629999999997E-8</v>
      </c>
      <c r="G23">
        <v>0.53449999999999998</v>
      </c>
    </row>
    <row r="24" spans="1:7" x14ac:dyDescent="0.45">
      <c r="B24" s="21"/>
      <c r="C24" s="21"/>
      <c r="D24" s="20"/>
      <c r="G24" t="s">
        <v>52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25BB-E681-4896-B3AE-C9F84FF43464}">
  <dimension ref="A1:G9"/>
  <sheetViews>
    <sheetView zoomScale="79" workbookViewId="0">
      <selection activeCell="G18" sqref="G18"/>
    </sheetView>
  </sheetViews>
  <sheetFormatPr defaultRowHeight="14.25" x14ac:dyDescent="0.45"/>
  <cols>
    <col min="1" max="1" width="4.6640625" bestFit="1" customWidth="1"/>
    <col min="2" max="3" width="8.73046875" bestFit="1" customWidth="1"/>
    <col min="4" max="4" width="11.6640625" customWidth="1"/>
    <col min="5" max="5" width="11" customWidth="1"/>
    <col min="6" max="6" width="14.06640625" customWidth="1"/>
    <col min="7" max="7" width="27.265625" customWidth="1"/>
  </cols>
  <sheetData>
    <row r="1" spans="1:7" x14ac:dyDescent="0.45">
      <c r="A1" t="s">
        <v>8</v>
      </c>
      <c r="B1" t="s">
        <v>38</v>
      </c>
      <c r="C1" t="s">
        <v>37</v>
      </c>
      <c r="D1" t="s">
        <v>36</v>
      </c>
      <c r="E1" t="s">
        <v>40</v>
      </c>
      <c r="F1" t="s">
        <v>45</v>
      </c>
      <c r="G1" t="s">
        <v>51</v>
      </c>
    </row>
    <row r="2" spans="1:7" x14ac:dyDescent="0.45">
      <c r="A2">
        <v>6</v>
      </c>
      <c r="B2" s="21">
        <v>355482.5</v>
      </c>
      <c r="C2" s="21">
        <v>197.672</v>
      </c>
      <c r="D2" s="20">
        <v>51.839246509699997</v>
      </c>
      <c r="E2" s="20">
        <v>65.460706807099996</v>
      </c>
      <c r="F2" s="22">
        <v>3.5443299999999998E-8</v>
      </c>
      <c r="G2">
        <v>0.12540000000000001</v>
      </c>
    </row>
    <row r="3" spans="1:7" x14ac:dyDescent="0.45">
      <c r="A3">
        <v>7</v>
      </c>
      <c r="B3" s="21">
        <v>379345.8</v>
      </c>
      <c r="C3" s="21">
        <v>197.94730000000001</v>
      </c>
      <c r="D3" s="20">
        <v>55.3129078455</v>
      </c>
      <c r="E3" s="20">
        <v>65.451011193400007</v>
      </c>
      <c r="F3" s="22">
        <v>3.3076370000000003E-8</v>
      </c>
      <c r="G3">
        <v>0.2268</v>
      </c>
    </row>
    <row r="4" spans="1:7" x14ac:dyDescent="0.45">
      <c r="A4">
        <v>8</v>
      </c>
      <c r="B4" s="21">
        <v>401017.7</v>
      </c>
      <c r="C4" s="21">
        <v>198.23699999999999</v>
      </c>
      <c r="D4" s="20">
        <v>58.144194378599998</v>
      </c>
      <c r="E4" s="20">
        <v>65.447410008399999</v>
      </c>
      <c r="F4" s="22">
        <v>3.1290990000000002E-8</v>
      </c>
      <c r="G4">
        <v>0.35809999999999997</v>
      </c>
    </row>
    <row r="5" spans="1:7" x14ac:dyDescent="0.45">
      <c r="A5">
        <v>9</v>
      </c>
      <c r="B5" s="21">
        <v>417397.2</v>
      </c>
      <c r="C5" s="21">
        <v>198.4571</v>
      </c>
      <c r="D5" s="20">
        <v>60.394143084600003</v>
      </c>
      <c r="E5" s="20">
        <v>65.446745866000001</v>
      </c>
      <c r="F5" s="22">
        <v>2.9910629999999997E-8</v>
      </c>
      <c r="G5">
        <v>0.51900000000000002</v>
      </c>
    </row>
    <row r="6" spans="1:7" x14ac:dyDescent="0.45">
      <c r="A6">
        <v>10</v>
      </c>
      <c r="B6" s="21">
        <v>431139.9</v>
      </c>
      <c r="C6" s="21">
        <v>198.63319999999999</v>
      </c>
      <c r="D6" s="20">
        <v>61.295480077999997</v>
      </c>
      <c r="E6" s="20">
        <v>65.447564095800004</v>
      </c>
      <c r="F6" s="22">
        <v>2.8824929999999999E-8</v>
      </c>
      <c r="G6">
        <v>0.70909999999999995</v>
      </c>
    </row>
    <row r="7" spans="1:7" x14ac:dyDescent="0.45">
      <c r="A7">
        <v>11</v>
      </c>
      <c r="B7" s="21">
        <v>443040</v>
      </c>
      <c r="C7" s="21">
        <v>198.77090000000001</v>
      </c>
      <c r="D7" s="20">
        <v>61.970812631500003</v>
      </c>
      <c r="E7" s="20">
        <v>65.449144400500003</v>
      </c>
      <c r="F7" s="22">
        <v>2.7960980000000002E-8</v>
      </c>
      <c r="G7">
        <v>0.92749999999999999</v>
      </c>
    </row>
    <row r="8" spans="1:7" x14ac:dyDescent="0.45">
      <c r="A8">
        <v>12</v>
      </c>
      <c r="B8" s="21">
        <v>453623.6</v>
      </c>
      <c r="C8" s="21">
        <v>198.85489999999999</v>
      </c>
      <c r="D8" s="20">
        <v>62.481570320199999</v>
      </c>
      <c r="E8" s="20">
        <v>65.451110657200005</v>
      </c>
      <c r="F8" s="22">
        <v>2.7268470000000001E-8</v>
      </c>
      <c r="G8">
        <v>1.1640999999999999</v>
      </c>
    </row>
    <row r="9" spans="1:7" x14ac:dyDescent="0.45">
      <c r="C9" s="21"/>
      <c r="D9" s="20"/>
      <c r="E9" s="20"/>
      <c r="F9" s="22"/>
      <c r="G9" s="24" t="s">
        <v>53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1B89-2C4E-4BC7-9105-BE30F5D1597B}">
  <dimension ref="A1:P24"/>
  <sheetViews>
    <sheetView topLeftCell="F1" zoomScale="79" workbookViewId="0">
      <selection activeCell="AB28" sqref="AB28"/>
    </sheetView>
  </sheetViews>
  <sheetFormatPr defaultRowHeight="14.25" x14ac:dyDescent="0.45"/>
  <cols>
    <col min="1" max="1" width="7.9296875" bestFit="1" customWidth="1"/>
    <col min="2" max="3" width="8.73046875" bestFit="1" customWidth="1"/>
    <col min="4" max="4" width="13.3984375" customWidth="1"/>
    <col min="5" max="5" width="12.9296875" customWidth="1"/>
    <col min="6" max="6" width="14.796875" customWidth="1"/>
    <col min="7" max="7" width="26.06640625" customWidth="1"/>
  </cols>
  <sheetData>
    <row r="1" spans="1:7" x14ac:dyDescent="0.45">
      <c r="A1" t="s">
        <v>39</v>
      </c>
      <c r="B1" t="s">
        <v>38</v>
      </c>
      <c r="C1" t="s">
        <v>37</v>
      </c>
      <c r="D1" t="s">
        <v>36</v>
      </c>
      <c r="E1" t="s">
        <v>40</v>
      </c>
      <c r="F1" t="s">
        <v>45</v>
      </c>
      <c r="G1" t="s">
        <v>51</v>
      </c>
    </row>
    <row r="2" spans="1:7" x14ac:dyDescent="0.45">
      <c r="A2">
        <v>-0.2</v>
      </c>
      <c r="B2" s="21">
        <v>348364.9</v>
      </c>
      <c r="C2" s="21">
        <v>197.43029999999999</v>
      </c>
      <c r="D2" s="20">
        <v>30.6374642601</v>
      </c>
      <c r="E2" s="20">
        <v>64.889513555700006</v>
      </c>
      <c r="F2">
        <v>3.9576100000000002E-8</v>
      </c>
      <c r="G2">
        <v>1.4E-3</v>
      </c>
    </row>
    <row r="3" spans="1:7" x14ac:dyDescent="0.45">
      <c r="A3">
        <v>-0.18</v>
      </c>
      <c r="B3" s="21">
        <v>348172.5</v>
      </c>
      <c r="C3" s="21">
        <v>197.53559999999999</v>
      </c>
      <c r="D3" s="20">
        <v>37.353039455000001</v>
      </c>
      <c r="E3" s="20">
        <v>65.175181393900004</v>
      </c>
      <c r="F3">
        <v>3.744599E-8</v>
      </c>
      <c r="G3">
        <v>5.4000000000000003E-3</v>
      </c>
    </row>
    <row r="4" spans="1:7" x14ac:dyDescent="0.45">
      <c r="A4">
        <v>-0.16</v>
      </c>
      <c r="B4" s="21">
        <v>353096.1</v>
      </c>
      <c r="C4" s="21">
        <v>197.626</v>
      </c>
      <c r="D4" s="20">
        <v>44.355832652399997</v>
      </c>
      <c r="E4" s="20">
        <v>65.313470236000001</v>
      </c>
      <c r="F4">
        <v>3.5913889999999998E-8</v>
      </c>
      <c r="G4">
        <v>2.1299999999999999E-2</v>
      </c>
    </row>
    <row r="5" spans="1:7" x14ac:dyDescent="0.45">
      <c r="A5">
        <v>-0.14000000000000001</v>
      </c>
      <c r="B5" s="21">
        <v>361014</v>
      </c>
      <c r="C5" s="21">
        <v>197.697</v>
      </c>
      <c r="D5" s="20">
        <v>51.825588337900001</v>
      </c>
      <c r="E5" s="20">
        <v>65.3782799823</v>
      </c>
      <c r="F5">
        <v>3.4733160000000002E-8</v>
      </c>
      <c r="G5">
        <v>6.2399999999999997E-2</v>
      </c>
    </row>
    <row r="6" spans="1:7" x14ac:dyDescent="0.45">
      <c r="A6">
        <v>-0.12</v>
      </c>
      <c r="B6" s="21">
        <v>370052.4</v>
      </c>
      <c r="C6" s="21">
        <v>197.77070000000001</v>
      </c>
      <c r="D6" s="20">
        <v>59.915451181500003</v>
      </c>
      <c r="E6" s="20">
        <v>65.409287116800002</v>
      </c>
      <c r="F6">
        <v>3.3761529999999997E-8</v>
      </c>
      <c r="G6">
        <v>0.1138</v>
      </c>
    </row>
    <row r="7" spans="1:7" x14ac:dyDescent="0.45">
      <c r="A7">
        <v>-0.1</v>
      </c>
      <c r="B7" s="21">
        <v>379315.3</v>
      </c>
      <c r="C7" s="21">
        <v>197.86199999999999</v>
      </c>
      <c r="D7" s="20">
        <v>65.556352852800003</v>
      </c>
      <c r="E7" s="20">
        <v>65.425162542600006</v>
      </c>
      <c r="F7">
        <v>3.2926150000000001E-8</v>
      </c>
      <c r="G7">
        <v>0.2324</v>
      </c>
    </row>
    <row r="8" spans="1:7" x14ac:dyDescent="0.45">
      <c r="A8">
        <v>-0.08</v>
      </c>
      <c r="B8" s="21">
        <v>388480.4</v>
      </c>
      <c r="C8" s="21">
        <v>197.97300000000001</v>
      </c>
      <c r="D8" s="20">
        <v>64.809308869600002</v>
      </c>
      <c r="E8" s="20">
        <v>65.434234847599996</v>
      </c>
      <c r="F8">
        <v>3.2189660000000003E-8</v>
      </c>
      <c r="G8">
        <v>0.35809999999999997</v>
      </c>
    </row>
    <row r="9" spans="1:7" x14ac:dyDescent="0.45">
      <c r="A9">
        <v>-0.06</v>
      </c>
      <c r="B9" s="21">
        <v>397504.5</v>
      </c>
      <c r="C9" s="21">
        <v>198.08340000000001</v>
      </c>
      <c r="D9" s="20">
        <v>63.563416928800002</v>
      </c>
      <c r="E9" s="20">
        <v>65.440155932500005</v>
      </c>
      <c r="F9">
        <v>3.1531179999999997E-8</v>
      </c>
      <c r="G9">
        <v>0.51090000000000002</v>
      </c>
    </row>
    <row r="10" spans="1:7" x14ac:dyDescent="0.45">
      <c r="A10">
        <v>-0.04</v>
      </c>
      <c r="B10" s="21">
        <v>404819.7</v>
      </c>
      <c r="C10" s="21">
        <v>198.21850000000001</v>
      </c>
      <c r="D10" s="20">
        <v>62.925765951899997</v>
      </c>
      <c r="E10" s="20">
        <v>65.444529711200005</v>
      </c>
      <c r="F10">
        <v>3.09376E-8</v>
      </c>
      <c r="G10">
        <v>0.68710000000000004</v>
      </c>
    </row>
    <row r="11" spans="1:7" x14ac:dyDescent="0.45">
      <c r="A11">
        <v>-0.02</v>
      </c>
      <c r="B11" s="21">
        <v>411385.1</v>
      </c>
      <c r="C11" s="21">
        <v>198.34569999999999</v>
      </c>
      <c r="D11" s="20">
        <v>62.624396278600003</v>
      </c>
      <c r="E11" s="20">
        <v>65.448071562600006</v>
      </c>
      <c r="F11">
        <v>3.0399750000000001E-8</v>
      </c>
      <c r="G11">
        <v>0.66220000000000001</v>
      </c>
    </row>
    <row r="12" spans="1:7" x14ac:dyDescent="0.45">
      <c r="A12">
        <v>0</v>
      </c>
      <c r="B12" s="21">
        <v>417397.2</v>
      </c>
      <c r="C12" s="21">
        <v>198.4571</v>
      </c>
      <c r="D12" s="20">
        <v>62.481570320199999</v>
      </c>
      <c r="E12" s="20">
        <v>65.451110657200005</v>
      </c>
      <c r="F12">
        <v>2.9910629999999997E-8</v>
      </c>
      <c r="G12">
        <v>0.51900000000000002</v>
      </c>
    </row>
    <row r="13" spans="1:7" x14ac:dyDescent="0.45">
      <c r="A13">
        <v>0.02</v>
      </c>
      <c r="B13" s="21">
        <v>422911.3</v>
      </c>
      <c r="C13" s="21">
        <v>198.56909999999999</v>
      </c>
      <c r="D13" s="20">
        <v>62.412075746600003</v>
      </c>
      <c r="E13" s="20">
        <v>65.453806690600004</v>
      </c>
      <c r="F13">
        <v>2.946465E-8</v>
      </c>
      <c r="G13">
        <v>0.39019999999999999</v>
      </c>
    </row>
    <row r="14" spans="1:7" x14ac:dyDescent="0.45">
      <c r="A14">
        <v>0.04</v>
      </c>
      <c r="B14" s="21">
        <v>427948.6</v>
      </c>
      <c r="C14" s="21">
        <v>198.71010000000001</v>
      </c>
      <c r="D14" s="20">
        <v>62.3763774082</v>
      </c>
      <c r="E14" s="20">
        <v>65.456243627199996</v>
      </c>
      <c r="F14">
        <v>2.9057109999999999E-8</v>
      </c>
      <c r="G14">
        <v>0.2767</v>
      </c>
    </row>
    <row r="15" spans="1:7" x14ac:dyDescent="0.45">
      <c r="A15">
        <v>0.06</v>
      </c>
      <c r="B15" s="21">
        <v>432627.8</v>
      </c>
      <c r="C15" s="21">
        <v>198.83869999999999</v>
      </c>
      <c r="D15" s="20">
        <v>62.356199853500001</v>
      </c>
      <c r="E15" s="20">
        <v>65.458470526499994</v>
      </c>
      <c r="F15">
        <v>2.868408E-8</v>
      </c>
      <c r="G15">
        <v>0.18429999999999999</v>
      </c>
    </row>
    <row r="16" spans="1:7" x14ac:dyDescent="0.45">
      <c r="A16">
        <v>0.08</v>
      </c>
      <c r="B16" s="21">
        <v>436991.7</v>
      </c>
      <c r="C16" s="21">
        <v>198.95830000000001</v>
      </c>
      <c r="D16" s="20">
        <v>62.3430967408</v>
      </c>
      <c r="E16" s="20">
        <v>65.460519532999996</v>
      </c>
      <c r="F16">
        <v>2.8342150000000001E-8</v>
      </c>
      <c r="G16">
        <v>0.112</v>
      </c>
    </row>
    <row r="17" spans="1:16" x14ac:dyDescent="0.45">
      <c r="A17">
        <v>0.1</v>
      </c>
      <c r="B17" s="21">
        <v>441077.6</v>
      </c>
      <c r="C17" s="21">
        <v>199.0729</v>
      </c>
      <c r="D17" s="20">
        <v>62.333166524299997</v>
      </c>
      <c r="E17" s="20">
        <v>65.462413957999999</v>
      </c>
      <c r="F17">
        <v>2.802835E-8</v>
      </c>
      <c r="G17">
        <v>5.6500000000000002E-2</v>
      </c>
    </row>
    <row r="18" spans="1:16" x14ac:dyDescent="0.45">
      <c r="A18">
        <v>0.12</v>
      </c>
      <c r="B18" s="21">
        <v>444920.5</v>
      </c>
      <c r="C18" s="21">
        <v>199.18729999999999</v>
      </c>
      <c r="D18" s="20">
        <v>62.324610107300003</v>
      </c>
      <c r="E18" s="20">
        <v>65.4641720252</v>
      </c>
      <c r="F18">
        <v>2.7740130000000001E-8</v>
      </c>
      <c r="G18">
        <v>1.9800000000000002E-2</v>
      </c>
      <c r="P18" t="s">
        <v>47</v>
      </c>
    </row>
    <row r="19" spans="1:16" x14ac:dyDescent="0.45">
      <c r="A19">
        <v>0.14000000000000001</v>
      </c>
      <c r="B19" s="21">
        <v>448509.4</v>
      </c>
      <c r="C19" s="21">
        <v>199.30520000000001</v>
      </c>
      <c r="D19" s="20">
        <v>62.316600993500003</v>
      </c>
      <c r="E19" s="20">
        <v>65.465808694100005</v>
      </c>
      <c r="F19">
        <v>2.7475190000000001E-8</v>
      </c>
      <c r="G19">
        <v>1.9E-3</v>
      </c>
    </row>
    <row r="20" spans="1:16" x14ac:dyDescent="0.45">
      <c r="A20">
        <v>0.16</v>
      </c>
      <c r="B20" s="21">
        <v>125081.60000000001</v>
      </c>
      <c r="C20" s="21">
        <v>164.34</v>
      </c>
      <c r="D20" s="20">
        <v>62.308762324900002</v>
      </c>
      <c r="E20" s="20">
        <v>65.467336615199997</v>
      </c>
      <c r="F20">
        <v>2.7294559999999999E-8</v>
      </c>
      <c r="G20">
        <v>1E-4</v>
      </c>
    </row>
    <row r="21" spans="1:16" x14ac:dyDescent="0.45">
      <c r="A21">
        <v>0.18</v>
      </c>
      <c r="B21" s="21">
        <v>276470.8</v>
      </c>
      <c r="C21" s="21">
        <v>25.566079999999999</v>
      </c>
      <c r="D21" s="20">
        <v>62.300924794300002</v>
      </c>
      <c r="E21" s="20">
        <v>65.468766681000005</v>
      </c>
      <c r="F21">
        <v>8.3899650000000004E-7</v>
      </c>
      <c r="G21">
        <v>0</v>
      </c>
    </row>
    <row r="22" spans="1:16" x14ac:dyDescent="0.45">
      <c r="A22">
        <v>0.2</v>
      </c>
      <c r="B22" s="21">
        <v>316925.2</v>
      </c>
      <c r="C22" s="21">
        <v>25.4998</v>
      </c>
      <c r="D22" s="20">
        <v>62.2930146056</v>
      </c>
      <c r="E22" s="20">
        <v>65.470108374399999</v>
      </c>
      <c r="F22">
        <v>8.3985999999999995E-7</v>
      </c>
      <c r="G22">
        <v>0</v>
      </c>
    </row>
    <row r="23" spans="1:16" x14ac:dyDescent="0.45">
      <c r="B23" s="21"/>
      <c r="C23" s="21"/>
      <c r="D23" s="20"/>
      <c r="E23" s="20"/>
      <c r="G23" t="s">
        <v>53</v>
      </c>
    </row>
    <row r="24" spans="1:16" x14ac:dyDescent="0.45">
      <c r="B24" s="21"/>
      <c r="C24" s="21"/>
      <c r="D24" s="20"/>
      <c r="E24" s="20"/>
      <c r="G24" t="s">
        <v>58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0AB9-765F-4F08-A348-592A1D64F8CE}">
  <dimension ref="A1:G5"/>
  <sheetViews>
    <sheetView zoomScale="81" workbookViewId="0">
      <selection activeCell="G1" sqref="G1"/>
    </sheetView>
  </sheetViews>
  <sheetFormatPr defaultRowHeight="14.25" x14ac:dyDescent="0.45"/>
  <cols>
    <col min="1" max="1" width="4.1328125" bestFit="1" customWidth="1"/>
    <col min="2" max="3" width="8.73046875" bestFit="1" customWidth="1"/>
    <col min="4" max="4" width="11.59765625" customWidth="1"/>
    <col min="5" max="5" width="10.796875" customWidth="1"/>
    <col min="6" max="6" width="14.73046875" customWidth="1"/>
    <col min="7" max="7" width="27.19921875" customWidth="1"/>
  </cols>
  <sheetData>
    <row r="1" spans="1:7" x14ac:dyDescent="0.45">
      <c r="A1" t="s">
        <v>42</v>
      </c>
      <c r="B1" t="s">
        <v>38</v>
      </c>
      <c r="C1" t="s">
        <v>37</v>
      </c>
      <c r="D1" t="s">
        <v>36</v>
      </c>
      <c r="E1" t="s">
        <v>40</v>
      </c>
      <c r="F1" t="s">
        <v>45</v>
      </c>
      <c r="G1" t="s">
        <v>51</v>
      </c>
    </row>
    <row r="2" spans="1:7" x14ac:dyDescent="0.45">
      <c r="A2">
        <v>4</v>
      </c>
      <c r="B2" s="21">
        <v>361337</v>
      </c>
      <c r="C2" s="21">
        <v>395.81819999999999</v>
      </c>
      <c r="D2">
        <v>62.48</v>
      </c>
      <c r="E2">
        <v>65.45</v>
      </c>
      <c r="F2" s="22">
        <v>2.9910637522299999E-8</v>
      </c>
      <c r="G2">
        <v>0.82489999999999997</v>
      </c>
    </row>
    <row r="3" spans="1:7" x14ac:dyDescent="0.45">
      <c r="A3">
        <v>8</v>
      </c>
      <c r="B3" s="21">
        <v>417397.2</v>
      </c>
      <c r="C3" s="21">
        <v>198.4571</v>
      </c>
      <c r="D3">
        <v>62.48</v>
      </c>
      <c r="E3">
        <v>65.45</v>
      </c>
      <c r="F3" s="22">
        <v>2.9910633969599999E-8</v>
      </c>
      <c r="G3">
        <v>0.51839999999999997</v>
      </c>
    </row>
    <row r="4" spans="1:7" x14ac:dyDescent="0.45">
      <c r="A4">
        <v>16</v>
      </c>
      <c r="B4" s="21">
        <v>450653.2</v>
      </c>
      <c r="C4" s="21">
        <v>99.333100000000002</v>
      </c>
      <c r="D4">
        <v>62.48</v>
      </c>
      <c r="E4">
        <v>65.45</v>
      </c>
      <c r="F4" s="22">
        <v>2.9910633969599999E-8</v>
      </c>
      <c r="G4">
        <v>0.2843</v>
      </c>
    </row>
    <row r="5" spans="1:7" x14ac:dyDescent="0.45">
      <c r="B5" s="21"/>
      <c r="C5" s="21"/>
      <c r="G5" s="22" t="s">
        <v>54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5F5A-24F2-4484-ADA3-32556A43A038}">
  <dimension ref="A1:B26"/>
  <sheetViews>
    <sheetView workbookViewId="0">
      <selection activeCell="D15" sqref="D15"/>
    </sheetView>
  </sheetViews>
  <sheetFormatPr defaultRowHeight="14.25" x14ac:dyDescent="0.45"/>
  <cols>
    <col min="1" max="1" width="6.19921875" bestFit="1" customWidth="1"/>
    <col min="2" max="2" width="13.796875" customWidth="1"/>
  </cols>
  <sheetData>
    <row r="1" spans="1:2" x14ac:dyDescent="0.45">
      <c r="A1" t="s">
        <v>11</v>
      </c>
      <c r="B1" t="s">
        <v>45</v>
      </c>
    </row>
    <row r="2" spans="1:2" x14ac:dyDescent="0.45">
      <c r="A2">
        <v>2000</v>
      </c>
      <c r="B2" s="22">
        <v>2.9910629999999997E-8</v>
      </c>
    </row>
    <row r="3" spans="1:2" x14ac:dyDescent="0.45">
      <c r="A3">
        <v>4000</v>
      </c>
      <c r="B3" s="22">
        <v>2.956392E-8</v>
      </c>
    </row>
    <row r="4" spans="1:2" x14ac:dyDescent="0.45">
      <c r="A4">
        <v>6000</v>
      </c>
      <c r="B4" s="22">
        <v>2.9459879999999999E-8</v>
      </c>
    </row>
    <row r="5" spans="1:2" x14ac:dyDescent="0.45">
      <c r="A5">
        <v>8000</v>
      </c>
      <c r="B5" s="22">
        <v>2.9416510000000001E-8</v>
      </c>
    </row>
    <row r="6" spans="1:2" x14ac:dyDescent="0.45">
      <c r="A6">
        <v>10000</v>
      </c>
      <c r="B6" s="22">
        <v>2.939741E-8</v>
      </c>
    </row>
    <row r="7" spans="1:2" x14ac:dyDescent="0.45">
      <c r="A7">
        <v>12000</v>
      </c>
      <c r="B7" s="22">
        <v>2.9390450000000002E-8</v>
      </c>
    </row>
    <row r="8" spans="1:2" x14ac:dyDescent="0.45">
      <c r="A8">
        <v>14000</v>
      </c>
      <c r="B8" s="22">
        <v>2.9390409999999999E-8</v>
      </c>
    </row>
    <row r="9" spans="1:2" x14ac:dyDescent="0.45">
      <c r="A9">
        <v>16000</v>
      </c>
      <c r="B9" s="22">
        <v>2.939471E-8</v>
      </c>
    </row>
    <row r="10" spans="1:2" x14ac:dyDescent="0.45">
      <c r="A10">
        <v>18000</v>
      </c>
      <c r="B10" s="22">
        <v>2.9401899999999999E-8</v>
      </c>
    </row>
    <row r="11" spans="1:2" x14ac:dyDescent="0.45">
      <c r="A11">
        <v>20000</v>
      </c>
      <c r="B11" s="22">
        <v>2.941111E-8</v>
      </c>
    </row>
    <row r="12" spans="1:2" x14ac:dyDescent="0.45">
      <c r="A12">
        <v>22000</v>
      </c>
      <c r="B12" s="22">
        <v>2.942178E-8</v>
      </c>
    </row>
    <row r="13" spans="1:2" x14ac:dyDescent="0.45">
      <c r="A13">
        <v>24000</v>
      </c>
      <c r="B13" s="22">
        <v>2.9433559999999999E-8</v>
      </c>
    </row>
    <row r="14" spans="1:2" x14ac:dyDescent="0.45">
      <c r="A14">
        <v>26000</v>
      </c>
      <c r="B14" s="22">
        <v>2.9446189999999999E-8</v>
      </c>
    </row>
    <row r="15" spans="1:2" x14ac:dyDescent="0.45">
      <c r="A15">
        <v>28000</v>
      </c>
      <c r="B15" s="22">
        <v>2.945948E-8</v>
      </c>
    </row>
    <row r="16" spans="1:2" x14ac:dyDescent="0.45">
      <c r="A16">
        <v>30000</v>
      </c>
      <c r="B16" s="22">
        <v>2.9473310000000001E-8</v>
      </c>
    </row>
    <row r="17" spans="1:2" x14ac:dyDescent="0.45">
      <c r="A17">
        <v>32000</v>
      </c>
      <c r="B17" s="22">
        <v>2.9487570000000001E-8</v>
      </c>
    </row>
    <row r="18" spans="1:2" x14ac:dyDescent="0.45">
      <c r="A18">
        <v>34000</v>
      </c>
      <c r="B18" s="22">
        <v>2.950218E-8</v>
      </c>
    </row>
    <row r="19" spans="1:2" x14ac:dyDescent="0.45">
      <c r="A19">
        <v>36000</v>
      </c>
      <c r="B19" s="22">
        <v>2.9517090000000001E-8</v>
      </c>
    </row>
    <row r="20" spans="1:2" x14ac:dyDescent="0.45">
      <c r="A20">
        <v>38000</v>
      </c>
      <c r="B20" s="22">
        <v>2.953225E-8</v>
      </c>
    </row>
    <row r="21" spans="1:2" x14ac:dyDescent="0.45">
      <c r="A21">
        <v>40000</v>
      </c>
      <c r="B21" s="22">
        <v>2.9547619999999999E-8</v>
      </c>
    </row>
    <row r="22" spans="1:2" x14ac:dyDescent="0.45">
      <c r="A22">
        <v>42000</v>
      </c>
      <c r="B22" s="22">
        <v>2.9563169999999999E-8</v>
      </c>
    </row>
    <row r="23" spans="1:2" x14ac:dyDescent="0.45">
      <c r="A23">
        <v>44000</v>
      </c>
      <c r="B23" s="22">
        <v>2.9578880000000001E-8</v>
      </c>
    </row>
    <row r="24" spans="1:2" x14ac:dyDescent="0.45">
      <c r="A24">
        <v>46000</v>
      </c>
      <c r="B24" s="22">
        <v>2.9594720000000001E-8</v>
      </c>
    </row>
    <row r="25" spans="1:2" x14ac:dyDescent="0.45">
      <c r="A25">
        <v>48000</v>
      </c>
      <c r="B25" s="22">
        <v>2.961069E-8</v>
      </c>
    </row>
    <row r="26" spans="1:2" x14ac:dyDescent="0.45">
      <c r="A26">
        <v>50000</v>
      </c>
      <c r="B26" s="22">
        <v>2.9626750000000001E-8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A9C53-7BDC-4C3C-A4E4-A0C6872CB7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Final Values</vt:lpstr>
      <vt:lpstr>Data Table</vt:lpstr>
      <vt:lpstr>Cbyp</vt:lpstr>
      <vt:lpstr>CB</vt:lpstr>
      <vt:lpstr>Vs</vt:lpstr>
      <vt:lpstr>VsigDC</vt:lpstr>
      <vt:lpstr>Rl</vt:lpstr>
      <vt:lpstr>Rpot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Keona Arneson</dc:creator>
  <cp:lastModifiedBy>Keona Arneson</cp:lastModifiedBy>
  <cp:lastPrinted>2026-03-28T02:12:27Z</cp:lastPrinted>
  <dcterms:created xsi:type="dcterms:W3CDTF">2026-03-12T03:01:26Z</dcterms:created>
  <dcterms:modified xsi:type="dcterms:W3CDTF">2026-03-28T02:12:32Z</dcterms:modified>
</cp:coreProperties>
</file>