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es\Documents\BSU\Spring '26\ECE380+L\Audio Amplifier Project\"/>
    </mc:Choice>
  </mc:AlternateContent>
  <xr:revisionPtr revIDLastSave="0" documentId="8_{75332875-5381-4F77-81F2-63BFD6E7C489}" xr6:coauthVersionLast="47" xr6:coauthVersionMax="47" xr10:uidLastSave="{00000000-0000-0000-0000-000000000000}"/>
  <bookViews>
    <workbookView xWindow="-98" yWindow="-98" windowWidth="21795" windowHeight="12975" xr2:uid="{B3F2E552-5B6F-4D2B-89B7-D1040D0ACD4F}"/>
  </bookViews>
  <sheets>
    <sheet name="Overview" sheetId="1" r:id="rId1"/>
    <sheet name="A" sheetId="2" r:id="rId2"/>
    <sheet name="B" sheetId="3" r:id="rId3"/>
    <sheet name="C" sheetId="4" r:id="rId4"/>
    <sheet name="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3" l="1"/>
  <c r="F10" i="3"/>
  <c r="F11" i="3"/>
  <c r="F12" i="3"/>
  <c r="F13" i="3"/>
  <c r="F14" i="3"/>
  <c r="F15" i="3"/>
  <c r="F16" i="3"/>
  <c r="F17" i="3"/>
  <c r="F18" i="3"/>
  <c r="F8" i="3"/>
  <c r="F8" i="2"/>
  <c r="I9" i="5"/>
  <c r="H9" i="5"/>
  <c r="H8" i="5"/>
  <c r="I8" i="5" s="1"/>
  <c r="E9" i="5"/>
  <c r="E8" i="5"/>
  <c r="H8" i="4"/>
  <c r="E8" i="4"/>
  <c r="E18" i="3"/>
  <c r="B17" i="3"/>
  <c r="E9" i="3"/>
  <c r="E10" i="3"/>
  <c r="E11" i="3"/>
  <c r="E12" i="3"/>
  <c r="E13" i="3"/>
  <c r="E14" i="3"/>
  <c r="E15" i="3"/>
  <c r="E16" i="3"/>
  <c r="E17" i="3"/>
  <c r="E8" i="3"/>
  <c r="B10" i="3"/>
  <c r="B11" i="3" s="1"/>
  <c r="B12" i="3" s="1"/>
  <c r="B13" i="3" s="1"/>
  <c r="B14" i="3" s="1"/>
  <c r="B15" i="3" s="1"/>
  <c r="B16" i="3" s="1"/>
  <c r="B9" i="3"/>
  <c r="I8" i="2"/>
  <c r="D9" i="2"/>
  <c r="E9" i="2" s="1"/>
  <c r="D10" i="2"/>
  <c r="E10" i="2" s="1"/>
  <c r="D11" i="2"/>
  <c r="E11" i="2" s="1"/>
  <c r="D12" i="2"/>
  <c r="E12" i="2" s="1"/>
  <c r="D8" i="2"/>
  <c r="E8" i="2" s="1"/>
</calcChain>
</file>

<file path=xl/sharedStrings.xml><?xml version="1.0" encoding="utf-8"?>
<sst xmlns="http://schemas.openxmlformats.org/spreadsheetml/2006/main" count="76" uniqueCount="62">
  <si>
    <t>Test Procedure: Audio Amplifier Performance Calculator</t>
  </si>
  <si>
    <r>
      <t>Measure the maximum power output, P</t>
    </r>
    <r>
      <rPr>
        <vertAlign val="subscript"/>
        <sz val="11"/>
        <color theme="1"/>
        <rFont val="Aptos Narrow"/>
        <family val="2"/>
        <scheme val="minor"/>
      </rPr>
      <t>MAX</t>
    </r>
    <r>
      <rPr>
        <sz val="11"/>
        <color theme="1"/>
        <rFont val="Aptos Narrow"/>
        <family val="2"/>
        <scheme val="minor"/>
      </rPr>
      <t>,</t>
    </r>
  </si>
  <si>
    <t>for a total harmonic distortion (THD) below 1% using the first 5 harmonics.</t>
  </si>
  <si>
    <t>2k</t>
  </si>
  <si>
    <t>3k</t>
  </si>
  <si>
    <t>4k</t>
  </si>
  <si>
    <t>5k</t>
  </si>
  <si>
    <t>1k</t>
  </si>
  <si>
    <t>Harmonic (Hz)</t>
  </si>
  <si>
    <t>Legend</t>
  </si>
  <si>
    <t>Input</t>
  </si>
  <si>
    <t>Output</t>
  </si>
  <si>
    <t>This spreadsheet is to be used with the Audio Amplifier Testing Procedure pdf</t>
  </si>
  <si>
    <t>Input raw data obtain from the  test and record the outputted performance calculations</t>
  </si>
  <si>
    <t>A</t>
  </si>
  <si>
    <t>B</t>
  </si>
  <si>
    <t>C</t>
  </si>
  <si>
    <t>D</t>
  </si>
  <si>
    <t>Test Guide</t>
  </si>
  <si>
    <t>Maximum Power Output</t>
  </si>
  <si>
    <t>Frequency Response</t>
  </si>
  <si>
    <t>I/O Impedance</t>
  </si>
  <si>
    <t>Efficiency</t>
  </si>
  <si>
    <t>Gain (dB)</t>
  </si>
  <si>
    <t>Gain (V/V)</t>
  </si>
  <si>
    <t>THD (%)</t>
  </si>
  <si>
    <t>Power (W)</t>
  </si>
  <si>
    <r>
      <t>VI</t>
    </r>
    <r>
      <rPr>
        <vertAlign val="subscript"/>
        <sz val="11"/>
        <color theme="1"/>
        <rFont val="Aptos Narrow"/>
        <family val="2"/>
        <scheme val="minor"/>
      </rPr>
      <t>MAX</t>
    </r>
    <r>
      <rPr>
        <sz val="11"/>
        <color theme="1"/>
        <rFont val="Aptos Narrow"/>
        <family val="2"/>
        <scheme val="minor"/>
      </rPr>
      <t xml:space="preserve"> (V)</t>
    </r>
  </si>
  <si>
    <r>
      <t>VO</t>
    </r>
    <r>
      <rPr>
        <vertAlign val="subscript"/>
        <sz val="11"/>
        <color theme="1"/>
        <rFont val="Aptos Narrow"/>
        <family val="2"/>
        <scheme val="minor"/>
      </rPr>
      <t>MAX</t>
    </r>
    <r>
      <rPr>
        <sz val="11"/>
        <color theme="1"/>
        <rFont val="Aptos Narrow"/>
        <family val="2"/>
        <scheme val="minor"/>
      </rPr>
      <t xml:space="preserve"> (V)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</si>
  <si>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HARM</t>
    </r>
    <r>
      <rPr>
        <sz val="11"/>
        <color theme="1"/>
        <rFont val="Aptos Narrow"/>
        <family val="2"/>
        <scheme val="minor"/>
      </rPr>
      <t xml:space="preserve"> (dBV)</t>
    </r>
  </si>
  <si>
    <t>Total Harmonic Distortion Calculator</t>
  </si>
  <si>
    <t>Calculates gain with Vin and Vout</t>
  </si>
  <si>
    <t>Plots frequency response with calculated gain and inputted phase</t>
  </si>
  <si>
    <t>Frequency (Hz)</t>
  </si>
  <si>
    <r>
      <t>V</t>
    </r>
    <r>
      <rPr>
        <vertAlign val="subscript"/>
        <sz val="11"/>
        <color theme="1"/>
        <rFont val="Aptos Narrow"/>
        <family val="2"/>
        <scheme val="minor"/>
      </rPr>
      <t xml:space="preserve">IN </t>
    </r>
    <r>
      <rPr>
        <sz val="11"/>
        <color theme="1"/>
        <rFont val="Aptos Narrow"/>
        <family val="2"/>
        <scheme val="minor"/>
      </rPr>
      <t>(V)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</si>
  <si>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 xml:space="preserve">OUT </t>
    </r>
    <r>
      <rPr>
        <sz val="11"/>
        <color theme="1"/>
        <rFont val="Aptos Narrow"/>
        <family val="2"/>
        <scheme val="minor"/>
      </rPr>
      <t>(V)</t>
    </r>
  </si>
  <si>
    <r>
      <t>Phase (</t>
    </r>
    <r>
      <rPr>
        <sz val="11"/>
        <color theme="1"/>
        <rFont val="Aptos Narrow"/>
        <family val="2"/>
      </rPr>
      <t>°)</t>
    </r>
  </si>
  <si>
    <t>Input and Output Impedance</t>
  </si>
  <si>
    <t>Calculates the input impedance with Vin and Iin with a constant load</t>
  </si>
  <si>
    <t>Calculates the output impedance using values of different load values</t>
  </si>
  <si>
    <t>Input and Output Impedance Calculator</t>
  </si>
  <si>
    <r>
      <rPr>
        <sz val="11"/>
        <color theme="1"/>
        <rFont val="Aptos Narrow"/>
        <family val="2"/>
        <scheme val="minor"/>
      </rPr>
      <t>V</t>
    </r>
    <r>
      <rPr>
        <vertAlign val="subscript"/>
        <sz val="11"/>
        <color theme="1"/>
        <rFont val="Aptos Narrow"/>
        <family val="2"/>
        <scheme val="minor"/>
      </rPr>
      <t xml:space="preserve">IN </t>
    </r>
    <r>
      <rPr>
        <sz val="11"/>
        <color theme="1"/>
        <rFont val="Aptos Narrow"/>
        <family val="2"/>
        <scheme val="minor"/>
      </rPr>
      <t>(V)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</si>
  <si>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IN</t>
    </r>
    <r>
      <rPr>
        <sz val="11"/>
        <color theme="1"/>
        <rFont val="Aptos Narrow"/>
        <family val="2"/>
        <scheme val="minor"/>
      </rPr>
      <t xml:space="preserve"> (A)</t>
    </r>
  </si>
  <si>
    <r>
      <t>R</t>
    </r>
    <r>
      <rPr>
        <vertAlign val="subscript"/>
        <sz val="11"/>
        <color theme="1"/>
        <rFont val="Aptos Narrow"/>
        <family val="2"/>
        <scheme val="minor"/>
      </rPr>
      <t xml:space="preserve">IN </t>
    </r>
    <r>
      <rPr>
        <sz val="11"/>
        <color theme="1"/>
        <rFont val="Aptos Narrow"/>
        <family val="2"/>
        <scheme val="minor"/>
      </rPr>
      <t>(</t>
    </r>
    <r>
      <rPr>
        <sz val="11"/>
        <color theme="1"/>
        <rFont val="Aptos Narrow"/>
        <family val="2"/>
      </rPr>
      <t>Ω)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</si>
  <si>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OUT</t>
    </r>
    <r>
      <rPr>
        <sz val="11"/>
        <color theme="1"/>
        <rFont val="Aptos Narrow"/>
        <family val="2"/>
        <scheme val="minor"/>
      </rPr>
      <t xml:space="preserve"> (V)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</si>
  <si>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OUT</t>
    </r>
    <r>
      <rPr>
        <sz val="11"/>
        <color theme="1"/>
        <rFont val="Aptos Narrow"/>
        <family val="2"/>
        <scheme val="minor"/>
      </rPr>
      <t xml:space="preserve"> (A)</t>
    </r>
  </si>
  <si>
    <r>
      <t>R</t>
    </r>
    <r>
      <rPr>
        <vertAlign val="subscript"/>
        <sz val="11"/>
        <color theme="1"/>
        <rFont val="Aptos Narrow"/>
        <family val="2"/>
        <scheme val="minor"/>
      </rPr>
      <t xml:space="preserve">OUT </t>
    </r>
    <r>
      <rPr>
        <sz val="11"/>
        <color theme="1"/>
        <rFont val="Aptos Narrow"/>
        <family val="2"/>
        <scheme val="minor"/>
      </rPr>
      <t>(</t>
    </r>
    <r>
      <rPr>
        <sz val="11"/>
        <color theme="1"/>
        <rFont val="Aptos Narrow"/>
        <family val="2"/>
      </rPr>
      <t>Ω)</t>
    </r>
  </si>
  <si>
    <r>
      <t>R</t>
    </r>
    <r>
      <rPr>
        <vertAlign val="subscript"/>
        <sz val="11"/>
        <color theme="1"/>
        <rFont val="Aptos Narrow"/>
        <family val="2"/>
        <scheme val="minor"/>
      </rPr>
      <t>L</t>
    </r>
    <r>
      <rPr>
        <sz val="11"/>
        <color theme="1"/>
        <rFont val="Aptos Narrow"/>
        <family val="2"/>
        <scheme val="minor"/>
      </rPr>
      <t xml:space="preserve"> (Ω)</t>
    </r>
  </si>
  <si>
    <r>
      <t>Voltage (V</t>
    </r>
    <r>
      <rPr>
        <vertAlign val="subscript"/>
        <sz val="11"/>
        <color theme="1"/>
        <rFont val="Aptos Narrow"/>
        <family val="2"/>
        <scheme val="minor"/>
      </rPr>
      <t>rms</t>
    </r>
    <r>
      <rPr>
        <sz val="11"/>
        <color theme="1"/>
        <rFont val="Aptos Narrow"/>
        <family val="2"/>
        <scheme val="minor"/>
      </rPr>
      <t>)</t>
    </r>
  </si>
  <si>
    <r>
      <t>Voltage (V</t>
    </r>
    <r>
      <rPr>
        <vertAlign val="subscript"/>
        <sz val="11"/>
        <color theme="1"/>
        <rFont val="Aptos Narrow"/>
        <family val="2"/>
        <scheme val="minor"/>
      </rPr>
      <t>amp</t>
    </r>
    <r>
      <rPr>
        <sz val="11"/>
        <color theme="1"/>
        <rFont val="Aptos Narrow"/>
        <family val="2"/>
        <scheme val="minor"/>
      </rPr>
      <t>)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</si>
  <si>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IN</t>
    </r>
    <r>
      <rPr>
        <sz val="11"/>
        <color theme="1"/>
        <rFont val="Aptos Narrow"/>
        <family val="2"/>
        <scheme val="minor"/>
      </rPr>
      <t xml:space="preserve"> (V)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</si>
  <si>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 xml:space="preserve">SS </t>
    </r>
    <r>
      <rPr>
        <sz val="11"/>
        <color theme="1"/>
        <rFont val="Aptos Narrow"/>
        <family val="2"/>
        <scheme val="minor"/>
      </rPr>
      <t>(V)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</si>
  <si>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SS</t>
    </r>
    <r>
      <rPr>
        <sz val="11"/>
        <color theme="1"/>
        <rFont val="Aptos Narrow"/>
        <family val="2"/>
        <scheme val="minor"/>
      </rPr>
      <t xml:space="preserve"> (A)</t>
    </r>
  </si>
  <si>
    <r>
      <t>VI</t>
    </r>
    <r>
      <rPr>
        <vertAlign val="subscript"/>
        <sz val="11"/>
        <color theme="1"/>
        <rFont val="Aptos Narrow"/>
        <family val="2"/>
        <scheme val="minor"/>
      </rPr>
      <t>MAX</t>
    </r>
  </si>
  <si>
    <r>
      <t>P</t>
    </r>
    <r>
      <rPr>
        <vertAlign val="subscript"/>
        <sz val="11"/>
        <color theme="1"/>
        <rFont val="Aptos Narrow"/>
        <family val="2"/>
        <scheme val="minor"/>
      </rPr>
      <t>SS</t>
    </r>
    <r>
      <rPr>
        <sz val="11"/>
        <color theme="1"/>
        <rFont val="Aptos Narrow"/>
        <family val="2"/>
        <scheme val="minor"/>
      </rPr>
      <t xml:space="preserve"> (W)</t>
    </r>
  </si>
  <si>
    <t>Power Efficiency Calculator</t>
  </si>
  <si>
    <t>Gain and Phase Plotter</t>
  </si>
  <si>
    <t>Calculates the total power usage and power out</t>
  </si>
  <si>
    <t>Calculates power efficiency to the load</t>
  </si>
  <si>
    <r>
      <t>0.5*VI</t>
    </r>
    <r>
      <rPr>
        <vertAlign val="subscript"/>
        <sz val="11"/>
        <color theme="1"/>
        <rFont val="Aptos Narrow"/>
        <family val="2"/>
        <scheme val="minor"/>
      </rPr>
      <t>MAX</t>
    </r>
  </si>
  <si>
    <r>
      <t>P</t>
    </r>
    <r>
      <rPr>
        <vertAlign val="subscript"/>
        <sz val="11"/>
        <color theme="1"/>
        <rFont val="Aptos Narrow"/>
        <family val="2"/>
        <scheme val="minor"/>
      </rPr>
      <t>OUT</t>
    </r>
    <r>
      <rPr>
        <sz val="11"/>
        <color theme="1"/>
        <rFont val="Aptos Narrow"/>
        <family val="2"/>
        <scheme val="minor"/>
      </rPr>
      <t xml:space="preserve"> (W)</t>
    </r>
  </si>
  <si>
    <t>Eff.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</si>
</sst>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0" fillId="0" borderId="5" xfId="0" applyBorder="1"/>
    <xf numFmtId="0" fontId="1" fillId="3" borderId="8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0" fillId="0" borderId="12" xfId="0" applyBorder="1"/>
    <xf numFmtId="0" fontId="0" fillId="0" borderId="16" xfId="0" applyBorder="1"/>
    <xf numFmtId="0" fontId="0" fillId="0" borderId="18" xfId="0" applyBorder="1"/>
    <xf numFmtId="0" fontId="0" fillId="0" borderId="21" xfId="0" applyBorder="1"/>
    <xf numFmtId="0" fontId="0" fillId="0" borderId="8" xfId="0" applyBorder="1"/>
    <xf numFmtId="0" fontId="0" fillId="3" borderId="14" xfId="0" applyFill="1" applyBorder="1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5" xfId="0" applyBorder="1"/>
    <xf numFmtId="0" fontId="0" fillId="0" borderId="4" xfId="0" applyBorder="1"/>
    <xf numFmtId="0" fontId="0" fillId="0" borderId="28" xfId="0" applyBorder="1"/>
    <xf numFmtId="0" fontId="0" fillId="2" borderId="27" xfId="0" applyFill="1" applyBorder="1"/>
    <xf numFmtId="0" fontId="0" fillId="2" borderId="26" xfId="0" applyFill="1" applyBorder="1"/>
    <xf numFmtId="0" fontId="0" fillId="3" borderId="11" xfId="0" applyFill="1" applyBorder="1"/>
    <xf numFmtId="0" fontId="0" fillId="3" borderId="27" xfId="0" applyFill="1" applyBorder="1"/>
    <xf numFmtId="0" fontId="0" fillId="3" borderId="26" xfId="0" applyFill="1" applyBorder="1"/>
    <xf numFmtId="0" fontId="0" fillId="3" borderId="15" xfId="0" applyFill="1" applyBorder="1"/>
    <xf numFmtId="0" fontId="0" fillId="2" borderId="4" xfId="0" applyFill="1" applyBorder="1"/>
    <xf numFmtId="0" fontId="0" fillId="0" borderId="30" xfId="0" applyBorder="1"/>
    <xf numFmtId="0" fontId="0" fillId="0" borderId="31" xfId="0" applyBorder="1"/>
    <xf numFmtId="0" fontId="0" fillId="0" borderId="7" xfId="0" applyBorder="1"/>
    <xf numFmtId="0" fontId="0" fillId="0" borderId="20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2" borderId="35" xfId="0" applyFill="1" applyBorder="1"/>
    <xf numFmtId="0" fontId="0" fillId="3" borderId="24" xfId="0" applyFill="1" applyBorder="1"/>
    <xf numFmtId="0" fontId="0" fillId="3" borderId="35" xfId="0" applyFill="1" applyBorder="1"/>
    <xf numFmtId="0" fontId="1" fillId="2" borderId="21" xfId="0" applyFont="1" applyFill="1" applyBorder="1"/>
    <xf numFmtId="0" fontId="0" fillId="0" borderId="22" xfId="0" applyBorder="1"/>
    <xf numFmtId="0" fontId="0" fillId="2" borderId="15" xfId="0" applyFill="1" applyBorder="1"/>
    <xf numFmtId="2" fontId="0" fillId="2" borderId="5" xfId="0" applyNumberFormat="1" applyFill="1" applyBorder="1"/>
    <xf numFmtId="0" fontId="0" fillId="2" borderId="13" xfId="0" applyFill="1" applyBorder="1"/>
    <xf numFmtId="0" fontId="0" fillId="2" borderId="0" xfId="0" applyFill="1"/>
    <xf numFmtId="0" fontId="0" fillId="3" borderId="10" xfId="0" applyFill="1" applyBorder="1"/>
    <xf numFmtId="2" fontId="0" fillId="2" borderId="17" xfId="0" applyNumberFormat="1" applyFill="1" applyBorder="1"/>
    <xf numFmtId="0" fontId="0" fillId="2" borderId="24" xfId="0" applyFill="1" applyBorder="1"/>
    <xf numFmtId="2" fontId="0" fillId="2" borderId="22" xfId="0" applyNumberFormat="1" applyFill="1" applyBorder="1"/>
    <xf numFmtId="0" fontId="0" fillId="0" borderId="36" xfId="0" applyBorder="1"/>
    <xf numFmtId="0" fontId="0" fillId="3" borderId="23" xfId="0" applyFill="1" applyBorder="1"/>
    <xf numFmtId="0" fontId="0" fillId="0" borderId="2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8" xfId="0" applyBorder="1"/>
    <xf numFmtId="0" fontId="0" fillId="2" borderId="10" xfId="0" applyFill="1" applyBorder="1"/>
    <xf numFmtId="0" fontId="0" fillId="2" borderId="11" xfId="0" applyFill="1" applyBorder="1"/>
    <xf numFmtId="0" fontId="3" fillId="0" borderId="31" xfId="0" applyFont="1" applyBorder="1"/>
    <xf numFmtId="0" fontId="0" fillId="0" borderId="40" xfId="0" applyBorder="1"/>
    <xf numFmtId="0" fontId="0" fillId="4" borderId="41" xfId="0" applyFill="1" applyBorder="1"/>
    <xf numFmtId="0" fontId="0" fillId="4" borderId="37" xfId="0" applyFill="1" applyBorder="1"/>
    <xf numFmtId="0" fontId="0" fillId="4" borderId="39" xfId="0" applyFill="1" applyBorder="1"/>
    <xf numFmtId="0" fontId="0" fillId="4" borderId="3" xfId="0" applyFill="1" applyBorder="1"/>
    <xf numFmtId="0" fontId="0" fillId="4" borderId="20" xfId="0" applyFill="1" applyBorder="1"/>
    <xf numFmtId="0" fontId="0" fillId="3" borderId="19" xfId="0" applyFill="1" applyBorder="1"/>
    <xf numFmtId="0" fontId="0" fillId="0" borderId="42" xfId="0" applyBorder="1"/>
    <xf numFmtId="0" fontId="0" fillId="2" borderId="43" xfId="0" applyFill="1" applyBorder="1"/>
    <xf numFmtId="0" fontId="0" fillId="2" borderId="44" xfId="0" applyFill="1" applyBorder="1"/>
    <xf numFmtId="0" fontId="0" fillId="2" borderId="18" xfId="0" applyFill="1" applyBorder="1"/>
    <xf numFmtId="0" fontId="0" fillId="3" borderId="45" xfId="0" applyFill="1" applyBorder="1"/>
    <xf numFmtId="0" fontId="0" fillId="0" borderId="3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 Response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B!$F$7</c:f>
              <c:strCache>
                <c:ptCount val="1"/>
                <c:pt idx="0">
                  <c:v>Gain (dB)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B!$B$8:$B$18</c:f>
              <c:numCache>
                <c:formatCode>General</c:formatCode>
                <c:ptCount val="11"/>
                <c:pt idx="0">
                  <c:v>20</c:v>
                </c:pt>
                <c:pt idx="1">
                  <c:v>40</c:v>
                </c:pt>
                <c:pt idx="2">
                  <c:v>80</c:v>
                </c:pt>
                <c:pt idx="3">
                  <c:v>160</c:v>
                </c:pt>
                <c:pt idx="4">
                  <c:v>320</c:v>
                </c:pt>
                <c:pt idx="5">
                  <c:v>640</c:v>
                </c:pt>
                <c:pt idx="6">
                  <c:v>1280</c:v>
                </c:pt>
                <c:pt idx="7">
                  <c:v>2560</c:v>
                </c:pt>
                <c:pt idx="8">
                  <c:v>5120</c:v>
                </c:pt>
                <c:pt idx="9">
                  <c:v>10240</c:v>
                </c:pt>
                <c:pt idx="10">
                  <c:v>20000</c:v>
                </c:pt>
              </c:numCache>
            </c:numRef>
          </c:cat>
          <c:val>
            <c:numRef>
              <c:f>B!$F$8:$F$18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93-433D-9290-A5B2DCD48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3938191"/>
        <c:axId val="161394107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B!$C$7</c15:sqref>
                        </c15:formulaRef>
                      </c:ext>
                    </c:extLst>
                    <c:strCache>
                      <c:ptCount val="1"/>
                      <c:pt idx="0">
                        <c:v>VIN (V)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B!$B$8:$B$18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</c:v>
                      </c:pt>
                      <c:pt idx="1">
                        <c:v>40</c:v>
                      </c:pt>
                      <c:pt idx="2">
                        <c:v>80</c:v>
                      </c:pt>
                      <c:pt idx="3">
                        <c:v>160</c:v>
                      </c:pt>
                      <c:pt idx="4">
                        <c:v>320</c:v>
                      </c:pt>
                      <c:pt idx="5">
                        <c:v>640</c:v>
                      </c:pt>
                      <c:pt idx="6">
                        <c:v>1280</c:v>
                      </c:pt>
                      <c:pt idx="7">
                        <c:v>2560</c:v>
                      </c:pt>
                      <c:pt idx="8">
                        <c:v>5120</c:v>
                      </c:pt>
                      <c:pt idx="9">
                        <c:v>10240</c:v>
                      </c:pt>
                      <c:pt idx="10">
                        <c:v>20000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B!$C$8:$C$18</c15:sqref>
                        </c15:formulaRef>
                      </c:ext>
                    </c:extLst>
                    <c:numCache>
                      <c:formatCode>General</c:formatCode>
                      <c:ptCount val="11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E93-433D-9290-A5B2DCD48F9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B!$D$7</c15:sqref>
                        </c15:formulaRef>
                      </c:ext>
                    </c:extLst>
                    <c:strCache>
                      <c:ptCount val="1"/>
                      <c:pt idx="0">
                        <c:v>VOUT (V)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B!$B$8:$B$18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</c:v>
                      </c:pt>
                      <c:pt idx="1">
                        <c:v>40</c:v>
                      </c:pt>
                      <c:pt idx="2">
                        <c:v>80</c:v>
                      </c:pt>
                      <c:pt idx="3">
                        <c:v>160</c:v>
                      </c:pt>
                      <c:pt idx="4">
                        <c:v>320</c:v>
                      </c:pt>
                      <c:pt idx="5">
                        <c:v>640</c:v>
                      </c:pt>
                      <c:pt idx="6">
                        <c:v>1280</c:v>
                      </c:pt>
                      <c:pt idx="7">
                        <c:v>2560</c:v>
                      </c:pt>
                      <c:pt idx="8">
                        <c:v>5120</c:v>
                      </c:pt>
                      <c:pt idx="9">
                        <c:v>10240</c:v>
                      </c:pt>
                      <c:pt idx="10">
                        <c:v>20000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B!$D$8:$D$18</c15:sqref>
                        </c15:formulaRef>
                      </c:ext>
                    </c:extLst>
                    <c:numCache>
                      <c:formatCode>General</c:formatCode>
                      <c:ptCount val="1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E93-433D-9290-A5B2DCD48F9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B!$E$7</c15:sqref>
                        </c15:formulaRef>
                      </c:ext>
                    </c:extLst>
                    <c:strCache>
                      <c:ptCount val="1"/>
                      <c:pt idx="0">
                        <c:v>Gain (V/V)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B!$B$8:$B$18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20</c:v>
                      </c:pt>
                      <c:pt idx="1">
                        <c:v>40</c:v>
                      </c:pt>
                      <c:pt idx="2">
                        <c:v>80</c:v>
                      </c:pt>
                      <c:pt idx="3">
                        <c:v>160</c:v>
                      </c:pt>
                      <c:pt idx="4">
                        <c:v>320</c:v>
                      </c:pt>
                      <c:pt idx="5">
                        <c:v>640</c:v>
                      </c:pt>
                      <c:pt idx="6">
                        <c:v>1280</c:v>
                      </c:pt>
                      <c:pt idx="7">
                        <c:v>2560</c:v>
                      </c:pt>
                      <c:pt idx="8">
                        <c:v>5120</c:v>
                      </c:pt>
                      <c:pt idx="9">
                        <c:v>10240</c:v>
                      </c:pt>
                      <c:pt idx="10">
                        <c:v>20000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B!$E$8:$E$18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E93-433D-9290-A5B2DCD48F90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4"/>
          <c:order val="4"/>
          <c:tx>
            <c:strRef>
              <c:f>B!$G$7</c:f>
              <c:strCache>
                <c:ptCount val="1"/>
                <c:pt idx="0">
                  <c:v>Phase (°)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B!$B$8:$B$18</c:f>
              <c:numCache>
                <c:formatCode>General</c:formatCode>
                <c:ptCount val="11"/>
                <c:pt idx="0">
                  <c:v>20</c:v>
                </c:pt>
                <c:pt idx="1">
                  <c:v>40</c:v>
                </c:pt>
                <c:pt idx="2">
                  <c:v>80</c:v>
                </c:pt>
                <c:pt idx="3">
                  <c:v>160</c:v>
                </c:pt>
                <c:pt idx="4">
                  <c:v>320</c:v>
                </c:pt>
                <c:pt idx="5">
                  <c:v>640</c:v>
                </c:pt>
                <c:pt idx="6">
                  <c:v>1280</c:v>
                </c:pt>
                <c:pt idx="7">
                  <c:v>2560</c:v>
                </c:pt>
                <c:pt idx="8">
                  <c:v>5120</c:v>
                </c:pt>
                <c:pt idx="9">
                  <c:v>10240</c:v>
                </c:pt>
                <c:pt idx="10">
                  <c:v>20000</c:v>
                </c:pt>
              </c:numCache>
            </c:numRef>
          </c:cat>
          <c:val>
            <c:numRef>
              <c:f>B!$G$8:$G$18</c:f>
              <c:numCache>
                <c:formatCode>0.00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93-433D-9290-A5B2DCD48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197887"/>
        <c:axId val="1303196447"/>
      </c:lineChart>
      <c:catAx>
        <c:axId val="1613938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  <a:r>
                  <a:rPr lang="en-US" baseline="0"/>
                  <a:t> (Hz)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941071"/>
        <c:crosses val="autoZero"/>
        <c:auto val="1"/>
        <c:lblAlgn val="ctr"/>
        <c:lblOffset val="100"/>
        <c:noMultiLvlLbl val="0"/>
      </c:catAx>
      <c:valAx>
        <c:axId val="161394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Gain</a:t>
                </a:r>
                <a:r>
                  <a:rPr lang="en-US" baseline="0"/>
                  <a:t> 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938191"/>
        <c:crosses val="autoZero"/>
        <c:crossBetween val="between"/>
      </c:valAx>
      <c:valAx>
        <c:axId val="130319644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Angle</a:t>
                </a:r>
                <a:r>
                  <a:rPr lang="en-US" baseline="0"/>
                  <a:t> (°)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197887"/>
        <c:crosses val="max"/>
        <c:crossBetween val="between"/>
      </c:valAx>
      <c:catAx>
        <c:axId val="13031978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031964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7143</xdr:colOff>
      <xdr:row>6</xdr:row>
      <xdr:rowOff>42862</xdr:rowOff>
    </xdr:from>
    <xdr:to>
      <xdr:col>15</xdr:col>
      <xdr:colOff>45243</xdr:colOff>
      <xdr:row>20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78719B-A6A4-5B0A-29AD-63F737FE37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05983-D0D9-4662-9A13-9005865402B9}">
  <dimension ref="A1:F14"/>
  <sheetViews>
    <sheetView tabSelected="1" workbookViewId="0">
      <selection activeCell="D25" sqref="D25"/>
    </sheetView>
  </sheetViews>
  <sheetFormatPr defaultRowHeight="14.25" x14ac:dyDescent="0.45"/>
  <sheetData>
    <row r="1" spans="1:6" x14ac:dyDescent="0.45">
      <c r="B1" s="1" t="s">
        <v>0</v>
      </c>
    </row>
    <row r="3" spans="1:6" x14ac:dyDescent="0.45">
      <c r="B3" t="s">
        <v>12</v>
      </c>
    </row>
    <row r="4" spans="1:6" x14ac:dyDescent="0.45">
      <c r="B4" t="s">
        <v>13</v>
      </c>
    </row>
    <row r="5" spans="1:6" ht="14.65" thickBot="1" x14ac:dyDescent="0.5"/>
    <row r="6" spans="1:6" ht="15" thickTop="1" thickBot="1" x14ac:dyDescent="0.5">
      <c r="A6" s="3"/>
      <c r="B6" s="72" t="s">
        <v>18</v>
      </c>
      <c r="C6" s="72"/>
      <c r="D6" s="72"/>
      <c r="E6" s="71"/>
    </row>
    <row r="7" spans="1:6" ht="14.65" thickBot="1" x14ac:dyDescent="0.5">
      <c r="B7" s="13" t="s">
        <v>14</v>
      </c>
      <c r="C7" s="73" t="s">
        <v>19</v>
      </c>
      <c r="D7" s="73"/>
      <c r="E7" s="73"/>
      <c r="F7" s="11"/>
    </row>
    <row r="8" spans="1:6" ht="14.65" thickBot="1" x14ac:dyDescent="0.5">
      <c r="B8" s="10" t="s">
        <v>15</v>
      </c>
      <c r="C8" s="74" t="s">
        <v>20</v>
      </c>
      <c r="D8" s="75"/>
      <c r="E8" s="76"/>
    </row>
    <row r="9" spans="1:6" ht="14.65" thickBot="1" x14ac:dyDescent="0.5">
      <c r="B9" s="13" t="s">
        <v>16</v>
      </c>
      <c r="C9" s="74" t="s">
        <v>21</v>
      </c>
      <c r="D9" s="75"/>
      <c r="E9" s="76"/>
    </row>
    <row r="10" spans="1:6" ht="14.65" thickBot="1" x14ac:dyDescent="0.5">
      <c r="A10" s="3"/>
      <c r="B10" s="14" t="s">
        <v>17</v>
      </c>
      <c r="C10" s="77" t="s">
        <v>22</v>
      </c>
      <c r="D10" s="78"/>
      <c r="E10" s="79"/>
      <c r="F10" s="11"/>
    </row>
    <row r="11" spans="1:6" ht="14.65" thickTop="1" x14ac:dyDescent="0.45"/>
    <row r="14" spans="1:6" x14ac:dyDescent="0.45">
      <c r="D14" s="1"/>
    </row>
  </sheetData>
  <mergeCells count="5">
    <mergeCell ref="B6:E6"/>
    <mergeCell ref="C7:E7"/>
    <mergeCell ref="C8:E8"/>
    <mergeCell ref="C9:E9"/>
    <mergeCell ref="C10:E10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E9584-78C6-45E9-88EA-0AAA3EE1744A}">
  <dimension ref="A1:K13"/>
  <sheetViews>
    <sheetView workbookViewId="0">
      <selection activeCell="F8" sqref="F8"/>
    </sheetView>
  </sheetViews>
  <sheetFormatPr defaultRowHeight="14.25" x14ac:dyDescent="0.45"/>
  <cols>
    <col min="2" max="2" width="12.59765625" customWidth="1"/>
    <col min="3" max="3" width="11.33203125" customWidth="1"/>
    <col min="4" max="4" width="11.3984375" customWidth="1"/>
    <col min="5" max="5" width="11.1328125" customWidth="1"/>
    <col min="7" max="7" width="11.265625" customWidth="1"/>
    <col min="8" max="8" width="12.6640625" customWidth="1"/>
  </cols>
  <sheetData>
    <row r="1" spans="1:11" ht="14.65" thickBot="1" x14ac:dyDescent="0.5">
      <c r="B1" s="1" t="s">
        <v>19</v>
      </c>
    </row>
    <row r="2" spans="1:11" ht="15" thickTop="1" thickBot="1" x14ac:dyDescent="0.5">
      <c r="I2" s="3"/>
      <c r="J2" s="72" t="s">
        <v>9</v>
      </c>
      <c r="K2" s="71"/>
    </row>
    <row r="3" spans="1:11" ht="16.149999999999999" thickBot="1" x14ac:dyDescent="0.5">
      <c r="B3" s="2" t="s">
        <v>1</v>
      </c>
      <c r="I3" s="3"/>
      <c r="J3" s="5"/>
      <c r="K3" s="17" t="s">
        <v>10</v>
      </c>
    </row>
    <row r="4" spans="1:11" ht="14.65" thickBot="1" x14ac:dyDescent="0.5">
      <c r="B4" t="s">
        <v>2</v>
      </c>
      <c r="I4" s="3"/>
      <c r="J4" s="7"/>
      <c r="K4" s="18" t="s">
        <v>11</v>
      </c>
    </row>
    <row r="5" spans="1:11" ht="14.65" thickTop="1" x14ac:dyDescent="0.45">
      <c r="K5" s="4"/>
    </row>
    <row r="6" spans="1:11" ht="14.65" thickBot="1" x14ac:dyDescent="0.5">
      <c r="B6" s="1" t="s">
        <v>30</v>
      </c>
      <c r="I6" s="12"/>
    </row>
    <row r="7" spans="1:11" ht="16.5" thickTop="1" thickBot="1" x14ac:dyDescent="0.6">
      <c r="B7" s="53" t="s">
        <v>8</v>
      </c>
      <c r="C7" s="16" t="s">
        <v>29</v>
      </c>
      <c r="D7" s="16" t="s">
        <v>49</v>
      </c>
      <c r="E7" s="52" t="s">
        <v>48</v>
      </c>
      <c r="F7" s="52" t="s">
        <v>25</v>
      </c>
      <c r="G7" s="52" t="s">
        <v>27</v>
      </c>
      <c r="H7" s="52" t="s">
        <v>28</v>
      </c>
      <c r="I7" s="51" t="s">
        <v>26</v>
      </c>
    </row>
    <row r="8" spans="1:11" ht="14.65" thickBot="1" x14ac:dyDescent="0.5">
      <c r="B8" s="13" t="s">
        <v>7</v>
      </c>
      <c r="C8" s="8"/>
      <c r="D8" s="9">
        <f>10^(C8/20)</f>
        <v>1</v>
      </c>
      <c r="E8" s="9">
        <f>D8/SQRT(2)</f>
        <v>0.70710678118654746</v>
      </c>
      <c r="F8" s="25">
        <f>(SQRT(SUM(E9:E12))/E8)*100</f>
        <v>237.84142300054421</v>
      </c>
      <c r="G8" s="22"/>
      <c r="H8" s="22"/>
      <c r="I8" s="50">
        <f>H8^2/8</f>
        <v>0</v>
      </c>
      <c r="J8" s="11"/>
    </row>
    <row r="9" spans="1:11" ht="15" thickTop="1" thickBot="1" x14ac:dyDescent="0.5">
      <c r="B9" s="13" t="s">
        <v>3</v>
      </c>
      <c r="C9" s="8"/>
      <c r="D9" s="9">
        <f t="shared" ref="D9:D12" si="0">10^(C9/20)</f>
        <v>1</v>
      </c>
      <c r="E9" s="15">
        <f t="shared" ref="E9:E12" si="1">D9/SQRT(2)</f>
        <v>0.70710678118654746</v>
      </c>
      <c r="F9" s="49"/>
      <c r="G9" s="4"/>
      <c r="H9" s="4"/>
    </row>
    <row r="10" spans="1:11" ht="14.65" thickBot="1" x14ac:dyDescent="0.5">
      <c r="B10" s="13" t="s">
        <v>4</v>
      </c>
      <c r="C10" s="8"/>
      <c r="D10" s="9">
        <f t="shared" si="0"/>
        <v>1</v>
      </c>
      <c r="E10" s="15">
        <f t="shared" si="1"/>
        <v>0.70710678118654746</v>
      </c>
      <c r="F10" s="11"/>
    </row>
    <row r="11" spans="1:11" ht="14.65" thickBot="1" x14ac:dyDescent="0.5">
      <c r="A11" s="3"/>
      <c r="B11" s="20" t="s">
        <v>5</v>
      </c>
      <c r="C11" s="8"/>
      <c r="D11" s="9">
        <f t="shared" si="0"/>
        <v>1</v>
      </c>
      <c r="E11" s="15">
        <f t="shared" si="1"/>
        <v>0.70710678118654746</v>
      </c>
      <c r="F11" s="11"/>
    </row>
    <row r="12" spans="1:11" ht="14.65" thickBot="1" x14ac:dyDescent="0.5">
      <c r="B12" s="14" t="s">
        <v>6</v>
      </c>
      <c r="C12" s="22"/>
      <c r="D12" s="38">
        <f t="shared" si="0"/>
        <v>1</v>
      </c>
      <c r="E12" s="45">
        <f t="shared" si="1"/>
        <v>0.70710678118654746</v>
      </c>
      <c r="F12" s="11"/>
    </row>
    <row r="13" spans="1:11" ht="14.65" thickTop="1" x14ac:dyDescent="0.45">
      <c r="C13" s="4"/>
      <c r="E13" s="4"/>
      <c r="I13" s="1"/>
    </row>
  </sheetData>
  <mergeCells count="1">
    <mergeCell ref="J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A9ABA-3B57-4097-8408-2BF44A238BAD}">
  <dimension ref="B1:K22"/>
  <sheetViews>
    <sheetView workbookViewId="0">
      <selection activeCell="F22" sqref="F22"/>
    </sheetView>
  </sheetViews>
  <sheetFormatPr defaultRowHeight="14.25" x14ac:dyDescent="0.45"/>
  <sheetData>
    <row r="1" spans="2:11" ht="14.65" thickBot="1" x14ac:dyDescent="0.5">
      <c r="B1" s="1" t="s">
        <v>20</v>
      </c>
    </row>
    <row r="2" spans="2:11" ht="15" thickTop="1" thickBot="1" x14ac:dyDescent="0.5">
      <c r="J2" s="70" t="s">
        <v>9</v>
      </c>
      <c r="K2" s="71"/>
    </row>
    <row r="3" spans="2:11" ht="14.65" thickBot="1" x14ac:dyDescent="0.5">
      <c r="B3" t="s">
        <v>31</v>
      </c>
      <c r="J3" s="39"/>
      <c r="K3" s="6" t="s">
        <v>10</v>
      </c>
    </row>
    <row r="4" spans="2:11" ht="14.65" thickBot="1" x14ac:dyDescent="0.5">
      <c r="B4" t="s">
        <v>32</v>
      </c>
      <c r="J4" s="7"/>
      <c r="K4" s="40" t="s">
        <v>11</v>
      </c>
    </row>
    <row r="5" spans="2:11" ht="14.65" thickTop="1" x14ac:dyDescent="0.45"/>
    <row r="6" spans="2:11" ht="14.65" thickBot="1" x14ac:dyDescent="0.5">
      <c r="B6" s="1" t="s">
        <v>56</v>
      </c>
    </row>
    <row r="7" spans="2:11" ht="16.5" thickTop="1" thickBot="1" x14ac:dyDescent="0.6">
      <c r="B7" s="29" t="s">
        <v>33</v>
      </c>
      <c r="C7" s="30" t="s">
        <v>34</v>
      </c>
      <c r="D7" s="31" t="s">
        <v>35</v>
      </c>
      <c r="E7" s="30" t="s">
        <v>24</v>
      </c>
      <c r="F7" s="31" t="s">
        <v>23</v>
      </c>
      <c r="G7" s="32" t="s">
        <v>36</v>
      </c>
    </row>
    <row r="8" spans="2:11" ht="14.65" thickBot="1" x14ac:dyDescent="0.5">
      <c r="B8" s="33">
        <v>20</v>
      </c>
      <c r="C8" s="22"/>
      <c r="D8" s="22"/>
      <c r="E8" s="24" t="e">
        <f>D8/C8</f>
        <v>#DIV/0!</v>
      </c>
      <c r="F8" s="25" t="e">
        <f>20*LOG10(E8)</f>
        <v>#DIV/0!</v>
      </c>
      <c r="G8" s="42"/>
    </row>
    <row r="9" spans="2:11" ht="14.65" thickBot="1" x14ac:dyDescent="0.5">
      <c r="B9" s="34">
        <f>B8*2</f>
        <v>40</v>
      </c>
      <c r="C9" s="8"/>
      <c r="D9" s="8"/>
      <c r="E9" s="24" t="e">
        <f t="shared" ref="E9:E18" si="0">D9/C9</f>
        <v>#DIV/0!</v>
      </c>
      <c r="F9" s="25" t="e">
        <f t="shared" ref="F9:F18" si="1">20*LOG10(E9)</f>
        <v>#DIV/0!</v>
      </c>
      <c r="G9" s="42"/>
    </row>
    <row r="10" spans="2:11" ht="14.65" thickBot="1" x14ac:dyDescent="0.5">
      <c r="B10" s="11">
        <f t="shared" ref="B10:B17" si="2">B9*2</f>
        <v>80</v>
      </c>
      <c r="C10" s="23"/>
      <c r="D10" s="23"/>
      <c r="E10" s="24" t="e">
        <f t="shared" si="0"/>
        <v>#DIV/0!</v>
      </c>
      <c r="F10" s="25" t="e">
        <f t="shared" si="1"/>
        <v>#DIV/0!</v>
      </c>
      <c r="G10" s="42"/>
    </row>
    <row r="11" spans="2:11" ht="14.65" thickBot="1" x14ac:dyDescent="0.5">
      <c r="B11" s="34">
        <f t="shared" si="2"/>
        <v>160</v>
      </c>
      <c r="C11" s="8"/>
      <c r="D11" s="8"/>
      <c r="E11" s="24" t="e">
        <f t="shared" si="0"/>
        <v>#DIV/0!</v>
      </c>
      <c r="F11" s="25" t="e">
        <f t="shared" si="1"/>
        <v>#DIV/0!</v>
      </c>
      <c r="G11" s="42"/>
    </row>
    <row r="12" spans="2:11" ht="14.65" thickBot="1" x14ac:dyDescent="0.5">
      <c r="B12" s="11">
        <f t="shared" si="2"/>
        <v>320</v>
      </c>
      <c r="C12" s="23"/>
      <c r="D12" s="23"/>
      <c r="E12" s="24" t="e">
        <f t="shared" si="0"/>
        <v>#DIV/0!</v>
      </c>
      <c r="F12" s="25" t="e">
        <f t="shared" si="1"/>
        <v>#DIV/0!</v>
      </c>
      <c r="G12" s="42"/>
    </row>
    <row r="13" spans="2:11" ht="14.65" thickBot="1" x14ac:dyDescent="0.5">
      <c r="B13" s="34">
        <f t="shared" si="2"/>
        <v>640</v>
      </c>
      <c r="C13" s="8"/>
      <c r="D13" s="8"/>
      <c r="E13" s="24" t="e">
        <f t="shared" si="0"/>
        <v>#DIV/0!</v>
      </c>
      <c r="F13" s="25" t="e">
        <f t="shared" si="1"/>
        <v>#DIV/0!</v>
      </c>
      <c r="G13" s="42"/>
    </row>
    <row r="14" spans="2:11" ht="14.65" thickBot="1" x14ac:dyDescent="0.5">
      <c r="B14" s="11">
        <f t="shared" si="2"/>
        <v>1280</v>
      </c>
      <c r="C14" s="23"/>
      <c r="D14" s="23"/>
      <c r="E14" s="24" t="e">
        <f t="shared" si="0"/>
        <v>#DIV/0!</v>
      </c>
      <c r="F14" s="25" t="e">
        <f t="shared" si="1"/>
        <v>#DIV/0!</v>
      </c>
      <c r="G14" s="42"/>
    </row>
    <row r="15" spans="2:11" ht="14.65" thickBot="1" x14ac:dyDescent="0.5">
      <c r="B15" s="34">
        <f t="shared" si="2"/>
        <v>2560</v>
      </c>
      <c r="C15" s="8"/>
      <c r="D15" s="8"/>
      <c r="E15" s="24" t="e">
        <f t="shared" si="0"/>
        <v>#DIV/0!</v>
      </c>
      <c r="F15" s="25" t="e">
        <f t="shared" si="1"/>
        <v>#DIV/0!</v>
      </c>
      <c r="G15" s="42"/>
    </row>
    <row r="16" spans="2:11" ht="14.65" thickBot="1" x14ac:dyDescent="0.5">
      <c r="B16" s="33">
        <f t="shared" si="2"/>
        <v>5120</v>
      </c>
      <c r="C16" s="22"/>
      <c r="D16" s="22"/>
      <c r="E16" s="24" t="e">
        <f t="shared" si="0"/>
        <v>#DIV/0!</v>
      </c>
      <c r="F16" s="25" t="e">
        <f t="shared" si="1"/>
        <v>#DIV/0!</v>
      </c>
      <c r="G16" s="42"/>
    </row>
    <row r="17" spans="2:8" ht="14.65" thickBot="1" x14ac:dyDescent="0.5">
      <c r="B17" s="34">
        <f t="shared" si="2"/>
        <v>10240</v>
      </c>
      <c r="C17" s="8"/>
      <c r="D17" s="8"/>
      <c r="E17" s="27" t="e">
        <f t="shared" si="0"/>
        <v>#DIV/0!</v>
      </c>
      <c r="F17" s="25" t="e">
        <f t="shared" si="1"/>
        <v>#DIV/0!</v>
      </c>
      <c r="G17" s="46"/>
      <c r="H17" s="11"/>
    </row>
    <row r="18" spans="2:8" ht="14.65" thickBot="1" x14ac:dyDescent="0.5">
      <c r="B18" s="35">
        <v>20000</v>
      </c>
      <c r="C18" s="36"/>
      <c r="D18" s="47"/>
      <c r="E18" s="37" t="e">
        <f t="shared" si="0"/>
        <v>#DIV/0!</v>
      </c>
      <c r="F18" s="25" t="e">
        <f t="shared" si="1"/>
        <v>#DIV/0!</v>
      </c>
      <c r="G18" s="48"/>
      <c r="H18" s="11"/>
    </row>
    <row r="19" spans="2:8" ht="14.65" thickTop="1" x14ac:dyDescent="0.45"/>
    <row r="22" spans="2:8" x14ac:dyDescent="0.45">
      <c r="H22" s="1"/>
    </row>
  </sheetData>
  <mergeCells count="1">
    <mergeCell ref="J2:K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89479-807F-4C6B-8BFC-DE5B6352024A}">
  <dimension ref="B1:K10"/>
  <sheetViews>
    <sheetView workbookViewId="0">
      <selection activeCell="D12" sqref="D12"/>
    </sheetView>
  </sheetViews>
  <sheetFormatPr defaultRowHeight="14.25" x14ac:dyDescent="0.45"/>
  <sheetData>
    <row r="1" spans="2:11" ht="14.65" thickBot="1" x14ac:dyDescent="0.5">
      <c r="B1" s="1" t="s">
        <v>37</v>
      </c>
    </row>
    <row r="2" spans="2:11" ht="15" thickTop="1" thickBot="1" x14ac:dyDescent="0.5">
      <c r="J2" s="70" t="s">
        <v>9</v>
      </c>
      <c r="K2" s="71"/>
    </row>
    <row r="3" spans="2:11" ht="14.65" thickBot="1" x14ac:dyDescent="0.5">
      <c r="B3" t="s">
        <v>38</v>
      </c>
      <c r="J3" s="39"/>
      <c r="K3" s="6" t="s">
        <v>10</v>
      </c>
    </row>
    <row r="4" spans="2:11" ht="14.65" thickBot="1" x14ac:dyDescent="0.5">
      <c r="B4" t="s">
        <v>39</v>
      </c>
      <c r="J4" s="7"/>
      <c r="K4" s="40" t="s">
        <v>11</v>
      </c>
    </row>
    <row r="5" spans="2:11" ht="14.65" thickTop="1" x14ac:dyDescent="0.45"/>
    <row r="6" spans="2:11" ht="14.65" thickBot="1" x14ac:dyDescent="0.5">
      <c r="B6" s="1" t="s">
        <v>40</v>
      </c>
      <c r="F6" s="12"/>
      <c r="G6" s="12"/>
    </row>
    <row r="7" spans="2:11" ht="16.5" thickTop="1" thickBot="1" x14ac:dyDescent="0.6">
      <c r="B7" s="58" t="s">
        <v>47</v>
      </c>
      <c r="C7" s="57" t="s">
        <v>41</v>
      </c>
      <c r="D7" s="30" t="s">
        <v>42</v>
      </c>
      <c r="E7" s="19" t="s">
        <v>43</v>
      </c>
      <c r="F7" s="21" t="s">
        <v>44</v>
      </c>
      <c r="G7" s="21" t="s">
        <v>45</v>
      </c>
      <c r="H7" s="32" t="s">
        <v>46</v>
      </c>
    </row>
    <row r="8" spans="2:11" ht="14.65" thickBot="1" x14ac:dyDescent="0.5">
      <c r="B8" s="13">
        <v>4</v>
      </c>
      <c r="C8" s="22"/>
      <c r="D8" s="44"/>
      <c r="E8" s="26" t="e">
        <f>C8/D8</f>
        <v>#DIV/0!</v>
      </c>
      <c r="F8" s="43"/>
      <c r="G8" s="8"/>
      <c r="H8" s="50" t="e">
        <f>ABS((F9-F8)/(G9-G8))</f>
        <v>#DIV/0!</v>
      </c>
      <c r="I8" s="11"/>
    </row>
    <row r="9" spans="2:11" ht="15" thickTop="1" thickBot="1" x14ac:dyDescent="0.5">
      <c r="B9" s="35">
        <v>16</v>
      </c>
      <c r="C9" s="49"/>
      <c r="D9" s="4"/>
      <c r="E9" s="54"/>
      <c r="F9" s="56"/>
      <c r="G9" s="55"/>
      <c r="H9" s="49"/>
    </row>
    <row r="10" spans="2:11" ht="14.65" thickTop="1" x14ac:dyDescent="0.45">
      <c r="F10" s="4"/>
      <c r="G10" s="4"/>
    </row>
  </sheetData>
  <mergeCells count="1">
    <mergeCell ref="J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D4D89-F186-4224-A7AB-5BD6C50ABCDC}">
  <dimension ref="B1:K14"/>
  <sheetViews>
    <sheetView workbookViewId="0">
      <selection activeCell="I14" sqref="I14"/>
    </sheetView>
  </sheetViews>
  <sheetFormatPr defaultRowHeight="14.25" x14ac:dyDescent="0.45"/>
  <sheetData>
    <row r="1" spans="2:11" ht="14.65" thickBot="1" x14ac:dyDescent="0.5">
      <c r="B1" s="1" t="s">
        <v>22</v>
      </c>
    </row>
    <row r="2" spans="2:11" ht="15" thickTop="1" thickBot="1" x14ac:dyDescent="0.5">
      <c r="J2" s="70" t="s">
        <v>9</v>
      </c>
      <c r="K2" s="71"/>
    </row>
    <row r="3" spans="2:11" ht="14.65" thickBot="1" x14ac:dyDescent="0.5">
      <c r="B3" t="s">
        <v>57</v>
      </c>
      <c r="J3" s="39"/>
      <c r="K3" s="6" t="s">
        <v>10</v>
      </c>
    </row>
    <row r="4" spans="2:11" ht="14.65" thickBot="1" x14ac:dyDescent="0.5">
      <c r="B4" t="s">
        <v>58</v>
      </c>
      <c r="J4" s="7"/>
      <c r="K4" s="40" t="s">
        <v>11</v>
      </c>
    </row>
    <row r="5" spans="2:11" ht="14.65" thickTop="1" x14ac:dyDescent="0.45"/>
    <row r="6" spans="2:11" ht="14.65" thickBot="1" x14ac:dyDescent="0.5">
      <c r="B6" s="1" t="s">
        <v>55</v>
      </c>
    </row>
    <row r="7" spans="2:11" ht="16.5" thickTop="1" thickBot="1" x14ac:dyDescent="0.6">
      <c r="B7" s="49" t="s">
        <v>50</v>
      </c>
      <c r="C7" s="59" t="s">
        <v>51</v>
      </c>
      <c r="D7" s="60" t="s">
        <v>52</v>
      </c>
      <c r="E7" s="61" t="s">
        <v>54</v>
      </c>
      <c r="F7" s="59" t="s">
        <v>44</v>
      </c>
      <c r="G7" s="62" t="s">
        <v>45</v>
      </c>
      <c r="H7" s="59" t="s">
        <v>60</v>
      </c>
      <c r="I7" s="63" t="s">
        <v>61</v>
      </c>
    </row>
    <row r="8" spans="2:11" ht="16.149999999999999" thickBot="1" x14ac:dyDescent="0.6">
      <c r="B8" s="34" t="s">
        <v>53</v>
      </c>
      <c r="C8" s="8"/>
      <c r="D8" s="28"/>
      <c r="E8" s="15">
        <f>C8*D8</f>
        <v>0</v>
      </c>
      <c r="F8" s="8"/>
      <c r="G8" s="41"/>
      <c r="H8" s="9">
        <f>F8*G8</f>
        <v>0</v>
      </c>
      <c r="I8" s="64" t="e">
        <f>H8/E8</f>
        <v>#DIV/0!</v>
      </c>
    </row>
    <row r="9" spans="2:11" ht="16.149999999999999" thickBot="1" x14ac:dyDescent="0.6">
      <c r="B9" s="65" t="s">
        <v>59</v>
      </c>
      <c r="C9" s="66"/>
      <c r="D9" s="67"/>
      <c r="E9" s="50">
        <f>C9*D9</f>
        <v>0</v>
      </c>
      <c r="F9" s="66"/>
      <c r="G9" s="68"/>
      <c r="H9" s="38">
        <f>F9*G9</f>
        <v>0</v>
      </c>
      <c r="I9" s="69" t="e">
        <f>H9/E9</f>
        <v>#DIV/0!</v>
      </c>
    </row>
    <row r="10" spans="2:11" ht="14.65" thickTop="1" x14ac:dyDescent="0.45"/>
    <row r="14" spans="2:11" x14ac:dyDescent="0.45">
      <c r="F14" s="1"/>
    </row>
  </sheetData>
  <mergeCells count="1"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</vt:lpstr>
      <vt:lpstr>B</vt:lpstr>
      <vt:lpstr>C</vt:lpstr>
      <vt:lpstr>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Keona Arneson</dc:creator>
  <cp:lastModifiedBy>Keona Arneson</cp:lastModifiedBy>
  <dcterms:created xsi:type="dcterms:W3CDTF">2026-04-10T21:03:11Z</dcterms:created>
  <dcterms:modified xsi:type="dcterms:W3CDTF">2026-04-11T03:55:01Z</dcterms:modified>
</cp:coreProperties>
</file>